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M\Dropbox\My PC (LAPTOP-I67QJLDL)\Documents\Hub\Working folder\PhD\Data\study 1 data\40 Trees\"/>
    </mc:Choice>
  </mc:AlternateContent>
  <xr:revisionPtr revIDLastSave="0" documentId="13_ncr:1_{37C81C17-8C8F-4D50-9E5C-08EA687F5625}" xr6:coauthVersionLast="47" xr6:coauthVersionMax="47" xr10:uidLastSave="{00000000-0000-0000-0000-000000000000}"/>
  <bookViews>
    <workbookView xWindow="-110" yWindow="-110" windowWidth="19420" windowHeight="11020" activeTab="1" xr2:uid="{4A44D7C9-299B-461B-B371-F711229A1F5F}"/>
  </bookViews>
  <sheets>
    <sheet name="Sheet2" sheetId="3" r:id="rId1"/>
    <sheet name="Sheet1" sheetId="1" r:id="rId2"/>
    <sheet name="Height calc" sheetId="2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" i="1" l="1"/>
  <c r="K11" i="1"/>
  <c r="K13" i="1"/>
  <c r="K3" i="1"/>
  <c r="K4" i="1"/>
  <c r="K5" i="1"/>
  <c r="K6" i="1"/>
  <c r="K7" i="1"/>
  <c r="K8" i="1"/>
  <c r="K9" i="1"/>
  <c r="K10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E7" i="2"/>
  <c r="F7" i="2" s="1"/>
  <c r="E9" i="2"/>
  <c r="F9" i="2" s="1"/>
  <c r="E6" i="2"/>
  <c r="F6" i="2" s="1"/>
  <c r="E8" i="2"/>
  <c r="F8" i="2" s="1"/>
  <c r="E33" i="2"/>
  <c r="F33" i="2" s="1"/>
  <c r="E11" i="2"/>
  <c r="F11" i="2" s="1"/>
  <c r="E34" i="2"/>
  <c r="F34" i="2" s="1"/>
  <c r="E1" i="2"/>
  <c r="F1" i="2" s="1"/>
  <c r="E12" i="2"/>
  <c r="F12" i="2" s="1"/>
  <c r="E3" i="2"/>
  <c r="F3" i="2" s="1"/>
  <c r="E4" i="2"/>
  <c r="F4" i="2" s="1"/>
  <c r="E2" i="2"/>
  <c r="F2" i="2" s="1"/>
  <c r="E5" i="2"/>
  <c r="F5" i="2" s="1"/>
  <c r="E40" i="2"/>
  <c r="F40" i="2" s="1"/>
  <c r="E39" i="2"/>
  <c r="F39" i="2" s="1"/>
  <c r="E36" i="2"/>
  <c r="F36" i="2" s="1"/>
  <c r="E37" i="2"/>
  <c r="F37" i="2" s="1"/>
  <c r="E38" i="2"/>
  <c r="F38" i="2" s="1"/>
  <c r="E35" i="2"/>
  <c r="F35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15" i="2"/>
  <c r="F15" i="2" s="1"/>
  <c r="E13" i="2"/>
  <c r="F13" i="2" s="1"/>
  <c r="E14" i="2"/>
  <c r="F14" i="2" s="1"/>
  <c r="E16" i="2"/>
  <c r="F16" i="2" s="1"/>
  <c r="E17" i="2"/>
  <c r="F17" i="2" s="1"/>
  <c r="E18" i="2"/>
  <c r="F18" i="2" s="1"/>
  <c r="E19" i="2"/>
  <c r="F19" i="2" s="1"/>
  <c r="E30" i="2"/>
  <c r="F30" i="2" s="1"/>
  <c r="E29" i="2"/>
  <c r="F29" i="2" s="1"/>
  <c r="E31" i="2"/>
  <c r="F31" i="2" s="1"/>
  <c r="E32" i="2"/>
  <c r="F32" i="2" s="1"/>
  <c r="E10" i="2"/>
  <c r="F10" i="2" s="1"/>
</calcChain>
</file>

<file path=xl/sharedStrings.xml><?xml version="1.0" encoding="utf-8"?>
<sst xmlns="http://schemas.openxmlformats.org/spreadsheetml/2006/main" count="99" uniqueCount="77">
  <si>
    <t>Tree_number</t>
  </si>
  <si>
    <t>DBH</t>
  </si>
  <si>
    <t>Canopy photo</t>
  </si>
  <si>
    <t>215 degrees SW, 4m 10 from tree</t>
  </si>
  <si>
    <t>GPS</t>
  </si>
  <si>
    <t>47975,07104</t>
  </si>
  <si>
    <t>Date</t>
  </si>
  <si>
    <t>Height</t>
  </si>
  <si>
    <t>Canopy closure</t>
  </si>
  <si>
    <t>Stalk density</t>
  </si>
  <si>
    <t>3 steps Northwest</t>
  </si>
  <si>
    <t>4 steps South</t>
  </si>
  <si>
    <t>3 steps South</t>
  </si>
  <si>
    <t>3 steps East</t>
  </si>
  <si>
    <t>45824,08396</t>
  </si>
  <si>
    <t>45958,08278</t>
  </si>
  <si>
    <t>45963,08146</t>
  </si>
  <si>
    <t>46189, 07939</t>
  </si>
  <si>
    <t>45600, 08018</t>
  </si>
  <si>
    <t>3 steps South (past split tree)</t>
  </si>
  <si>
    <t>45658, 08168</t>
  </si>
  <si>
    <t>45676,08416</t>
  </si>
  <si>
    <t>45800, 08134</t>
  </si>
  <si>
    <t>3 steps West</t>
  </si>
  <si>
    <t>45295, 07882</t>
  </si>
  <si>
    <t>48418, 07366</t>
  </si>
  <si>
    <t>48402, 07248</t>
  </si>
  <si>
    <t>48596, 07035</t>
  </si>
  <si>
    <t>3 steps South East (outside thorns)</t>
  </si>
  <si>
    <t>45793, 07631</t>
  </si>
  <si>
    <t>45443, 07411</t>
  </si>
  <si>
    <t>45538, 07380</t>
  </si>
  <si>
    <t>3 steps South West (in between 2 small trees)</t>
  </si>
  <si>
    <t>45593, 07441</t>
  </si>
  <si>
    <t>2 steps South</t>
  </si>
  <si>
    <t>45596, 07350</t>
  </si>
  <si>
    <t>46303, 07374</t>
  </si>
  <si>
    <t>46081, 07175</t>
  </si>
  <si>
    <t>46343, 06957</t>
  </si>
  <si>
    <t>46479, 06782</t>
  </si>
  <si>
    <t>4 Steps South</t>
  </si>
  <si>
    <t>46648, 06916</t>
  </si>
  <si>
    <t>46590, 09022</t>
  </si>
  <si>
    <t>2 Steps South (small crown)</t>
  </si>
  <si>
    <t>46646, 09216</t>
  </si>
  <si>
    <t>46410, 09288</t>
  </si>
  <si>
    <t>45558, 08992</t>
  </si>
  <si>
    <t>3 Steps South</t>
  </si>
  <si>
    <t>45487, 09091</t>
  </si>
  <si>
    <t>45608, 09134</t>
  </si>
  <si>
    <t>45685, 09211</t>
  </si>
  <si>
    <t>45786, 09234</t>
  </si>
  <si>
    <t>3 Steps Southwest</t>
  </si>
  <si>
    <t>46004, 09236</t>
  </si>
  <si>
    <t>2 steps West</t>
  </si>
  <si>
    <t>46038, 09375</t>
  </si>
  <si>
    <t>3 steps North</t>
  </si>
  <si>
    <t>46091, 09530</t>
  </si>
  <si>
    <t>46254, 09462</t>
  </si>
  <si>
    <t>46233, 09274</t>
  </si>
  <si>
    <t>46160, 09211</t>
  </si>
  <si>
    <t>3 Steps North</t>
  </si>
  <si>
    <t>46025,09159</t>
  </si>
  <si>
    <t>45828, 09078</t>
  </si>
  <si>
    <t>Tree</t>
  </si>
  <si>
    <t>degree</t>
  </si>
  <si>
    <t>distance</t>
  </si>
  <si>
    <t>extra</t>
  </si>
  <si>
    <t>B=A*tan(PI(angle) /180)</t>
  </si>
  <si>
    <t>Crown_Spread</t>
  </si>
  <si>
    <t>Crown_Cross</t>
  </si>
  <si>
    <t>ET</t>
  </si>
  <si>
    <t>Circumference</t>
  </si>
  <si>
    <t>Sum of Circumference</t>
  </si>
  <si>
    <t>Row Labels</t>
  </si>
  <si>
    <t>Grand Total</t>
  </si>
  <si>
    <t>Aspect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</si>
</sst>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[Tree_demographics.xlsx]Sheet2!PivotTable1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Sheet2!$A$2:$A$43</c:f>
              <c:strCach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strCache>
            </c:strRef>
          </c:cat>
          <c:val>
            <c:numRef>
              <c:f>Sheet2!$B$2:$B$43</c:f>
              <c:numCache>
                <c:formatCode>General</c:formatCode>
                <c:ptCount val="41"/>
                <c:pt idx="0">
                  <c:v>99.631078530298353</c:v>
                </c:pt>
                <c:pt idx="1">
                  <c:v>71.938095041046097</c:v>
                </c:pt>
                <c:pt idx="2">
                  <c:v>75.757816901632609</c:v>
                </c:pt>
                <c:pt idx="3">
                  <c:v>55.704277133553397</c:v>
                </c:pt>
                <c:pt idx="4">
                  <c:v>77.349367676876994</c:v>
                </c:pt>
                <c:pt idx="5">
                  <c:v>41.062010001305076</c:v>
                </c:pt>
                <c:pt idx="6">
                  <c:v>47.428213102282605</c:v>
                </c:pt>
                <c:pt idx="7">
                  <c:v>49.019763877526984</c:v>
                </c:pt>
                <c:pt idx="8">
                  <c:v>82.760640312707906</c:v>
                </c:pt>
                <c:pt idx="9">
                  <c:v>93.583185584369701</c:v>
                </c:pt>
                <c:pt idx="10">
                  <c:v>85.943741863196664</c:v>
                </c:pt>
                <c:pt idx="11">
                  <c:v>73.211335661241606</c:v>
                </c:pt>
                <c:pt idx="12">
                  <c:v>81.487399692512398</c:v>
                </c:pt>
                <c:pt idx="13">
                  <c:v>146.42267132248321</c:v>
                </c:pt>
                <c:pt idx="14">
                  <c:v>44.563421706842718</c:v>
                </c:pt>
                <c:pt idx="15">
                  <c:v>84.988811398050032</c:v>
                </c:pt>
                <c:pt idx="16">
                  <c:v>112.68179488730229</c:v>
                </c:pt>
                <c:pt idx="17">
                  <c:v>85.943741863196664</c:v>
                </c:pt>
                <c:pt idx="18">
                  <c:v>76.394437211730363</c:v>
                </c:pt>
                <c:pt idx="19">
                  <c:v>70.983164575899465</c:v>
                </c:pt>
                <c:pt idx="20">
                  <c:v>81.487399692512398</c:v>
                </c:pt>
                <c:pt idx="21">
                  <c:v>57.93244821889553</c:v>
                </c:pt>
                <c:pt idx="22">
                  <c:v>63.662031009775305</c:v>
                </c:pt>
                <c:pt idx="23">
                  <c:v>79.577538762219135</c:v>
                </c:pt>
                <c:pt idx="24">
                  <c:v>74.484576281437114</c:v>
                </c:pt>
                <c:pt idx="25">
                  <c:v>63.662031009775305</c:v>
                </c:pt>
                <c:pt idx="26">
                  <c:v>69.709923955703957</c:v>
                </c:pt>
                <c:pt idx="27">
                  <c:v>76.394437211730363</c:v>
                </c:pt>
                <c:pt idx="28">
                  <c:v>45.836662327038219</c:v>
                </c:pt>
                <c:pt idx="29">
                  <c:v>61.115549769384295</c:v>
                </c:pt>
                <c:pt idx="30">
                  <c:v>79.259228607170257</c:v>
                </c:pt>
                <c:pt idx="31">
                  <c:v>60.47892945928654</c:v>
                </c:pt>
                <c:pt idx="32">
                  <c:v>77.349367676876994</c:v>
                </c:pt>
                <c:pt idx="33">
                  <c:v>49.019763877526984</c:v>
                </c:pt>
                <c:pt idx="34">
                  <c:v>77.667677831925872</c:v>
                </c:pt>
                <c:pt idx="35">
                  <c:v>46.473282637135974</c:v>
                </c:pt>
                <c:pt idx="36">
                  <c:v>91.673324654076438</c:v>
                </c:pt>
                <c:pt idx="37">
                  <c:v>77.667677831925872</c:v>
                </c:pt>
                <c:pt idx="38">
                  <c:v>120.95785891857308</c:v>
                </c:pt>
                <c:pt idx="39">
                  <c:v>74.166266126388237</c:v>
                </c:pt>
                <c:pt idx="40">
                  <c:v>185.25651023844614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B43-4F23-9232-FF34A565F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55536"/>
        <c:axId val="580358736"/>
      </c:barChart>
      <c:catAx>
        <c:axId val="58035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58736"/>
        <c:crosses val="autoZero"/>
        <c:auto val="1"/>
        <c:lblAlgn val="ctr"/>
        <c:lblOffset val="100"/>
        <c:noMultiLvlLbl val="0"/>
      </c:catAx>
      <c:valAx>
        <c:axId val="58035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5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30</xdr:col>
      <xdr:colOff>171450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5DA3A-B172-5587-1A26-D2935F10D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McClory" refreshedDate="44888.449791666666" createdVersion="8" refreshedVersion="8" minRefreshableVersion="3" recordCount="41" xr:uid="{95C438D8-8F22-4139-ABD9-68710DEB435B}">
  <cacheSource type="worksheet">
    <worksheetSource ref="A1:K40" sheet="Sheet1"/>
  </cacheSource>
  <cacheFields count="11">
    <cacheField name="Tree_number" numFmtId="0">
      <sharedItems containsSemiMixedTypes="0" containsString="0" containsNumber="1" containsInteger="1" minValue="1" maxValue="41" count="4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</sharedItems>
    </cacheField>
    <cacheField name="DBH" numFmtId="0">
      <sharedItems containsSemiMixedTypes="0" containsString="0" containsNumber="1" containsInteger="1" minValue="129" maxValue="582"/>
    </cacheField>
    <cacheField name="Canopy photo" numFmtId="0">
      <sharedItems/>
    </cacheField>
    <cacheField name="GPS" numFmtId="0">
      <sharedItems/>
    </cacheField>
    <cacheField name="Canopy closure" numFmtId="0">
      <sharedItems containsSemiMixedTypes="0" containsString="0" containsNumber="1" containsInteger="1" minValue="1" maxValue="10"/>
    </cacheField>
    <cacheField name="Stalk density" numFmtId="0">
      <sharedItems containsSemiMixedTypes="0" containsString="0" containsNumber="1" containsInteger="1" minValue="1" maxValue="7"/>
    </cacheField>
    <cacheField name="Date" numFmtId="14">
      <sharedItems containsSemiMixedTypes="0" containsNonDate="0" containsDate="1" containsString="0" minDate="2020-10-05T00:00:00" maxDate="2020-10-10T00:00:00"/>
    </cacheField>
    <cacheField name="Height" numFmtId="0">
      <sharedItems containsString="0" containsBlank="1" containsNumber="1" minValue="12.742569945513491" maxValue="33.758288229572564"/>
    </cacheField>
    <cacheField name="Crown_Spread" numFmtId="0">
      <sharedItems containsMixedTypes="1" containsNumber="1" minValue="5.5" maxValue="24"/>
    </cacheField>
    <cacheField name="Crown_Cross" numFmtId="0">
      <sharedItems containsString="0" containsBlank="1" containsNumber="1" minValue="5.5" maxValue="19.8"/>
    </cacheField>
    <cacheField name="Circumference" numFmtId="2">
      <sharedItems containsSemiMixedTypes="0" containsString="0" containsNumber="1" minValue="41.062010001305076" maxValue="185.25651023844614" count="34">
        <n v="99.631078530298353"/>
        <n v="71.938095041046097"/>
        <n v="75.757816901632609"/>
        <n v="55.704277133553397"/>
        <n v="77.349367676876994"/>
        <n v="41.062010001305076"/>
        <n v="47.428213102282605"/>
        <n v="49.019763877526984"/>
        <n v="82.760640312707906"/>
        <n v="93.583185584369701"/>
        <n v="85.943741863196664"/>
        <n v="73.211335661241606"/>
        <n v="81.487399692512398"/>
        <n v="146.42267132248321"/>
        <n v="44.563421706842718"/>
        <n v="84.988811398050032"/>
        <n v="112.68179488730229"/>
        <n v="76.394437211730363"/>
        <n v="70.983164575899465"/>
        <n v="57.93244821889553"/>
        <n v="63.662031009775305"/>
        <n v="79.577538762219135"/>
        <n v="74.484576281437114"/>
        <n v="69.709923955703957"/>
        <n v="45.836662327038219"/>
        <n v="61.115549769384295"/>
        <n v="79.259228607170257"/>
        <n v="60.47892945928654"/>
        <n v="77.667677831925872"/>
        <n v="46.473282637135974"/>
        <n v="91.673324654076438"/>
        <n v="120.95785891857308"/>
        <n v="74.166266126388237"/>
        <n v="185.256510238446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313"/>
    <s v="3 steps West"/>
    <s v="45295, 07882"/>
    <n v="3"/>
    <n v="4"/>
    <d v="2020-10-06T00:00:00"/>
    <n v="28.71360091457024"/>
    <n v="19.7"/>
    <n v="12.5"/>
    <x v="0"/>
  </r>
  <r>
    <x v="1"/>
    <n v="226"/>
    <s v="3 steps South"/>
    <s v="45443, 07411"/>
    <n v="3"/>
    <n v="3"/>
    <d v="2020-10-07T00:00:00"/>
    <n v="17.498568837127838"/>
    <n v="16.399999999999999"/>
    <n v="14.5"/>
    <x v="1"/>
  </r>
  <r>
    <x v="2"/>
    <n v="238"/>
    <s v="2 steps South"/>
    <s v="45596, 07350"/>
    <n v="6"/>
    <n v="7"/>
    <d v="2020-10-07T00:00:00"/>
    <n v="16.880047340913116"/>
    <n v="13.1"/>
    <n v="9.1999999999999993"/>
    <x v="2"/>
  </r>
  <r>
    <x v="3"/>
    <n v="175"/>
    <s v="3 steps South"/>
    <s v="45538, 07380"/>
    <n v="6"/>
    <n v="5"/>
    <d v="2020-10-07T00:00:00"/>
    <n v="17.864875975818567"/>
    <n v="10.5"/>
    <n v="6.7"/>
    <x v="3"/>
  </r>
  <r>
    <x v="4"/>
    <n v="243"/>
    <s v="3 steps South West (in between 2 small trees)"/>
    <s v="45593, 07441"/>
    <n v="8"/>
    <n v="6"/>
    <d v="2020-10-07T00:00:00"/>
    <n v="25.769999999999996"/>
    <n v="18.100000000000001"/>
    <n v="14.4"/>
    <x v="4"/>
  </r>
  <r>
    <x v="5"/>
    <n v="129"/>
    <s v="3 steps South"/>
    <s v="45600, 08018"/>
    <n v="2"/>
    <n v="2"/>
    <d v="2020-10-06T00:00:00"/>
    <n v="14.111212837360837"/>
    <n v="11.3"/>
    <n v="10.199999999999999"/>
    <x v="5"/>
  </r>
  <r>
    <x v="6"/>
    <n v="149"/>
    <s v="3 steps South (past split tree)"/>
    <s v="45658, 08168"/>
    <n v="8"/>
    <n v="4"/>
    <d v="2020-10-06T00:00:00"/>
    <n v="21.596316978070721"/>
    <n v="11.2"/>
    <n v="13.4"/>
    <x v="6"/>
  </r>
  <r>
    <x v="7"/>
    <n v="154"/>
    <s v="3 steps South"/>
    <s v="45800, 08134"/>
    <n v="1"/>
    <n v="1"/>
    <d v="2020-10-06T00:00:00"/>
    <n v="13.997387038186549"/>
    <n v="12.8"/>
    <n v="14.1"/>
    <x v="7"/>
  </r>
  <r>
    <x v="8"/>
    <n v="260"/>
    <s v="3 steps South"/>
    <s v="45676,08416"/>
    <n v="6"/>
    <n v="2"/>
    <d v="2020-10-06T00:00:00"/>
    <n v="20.946115559868758"/>
    <n v="15"/>
    <n v="11.3"/>
    <x v="8"/>
  </r>
  <r>
    <x v="9"/>
    <n v="294"/>
    <s v="3 steps South"/>
    <s v="45480, 08193"/>
    <n v="9"/>
    <n v="2"/>
    <d v="2020-10-06T00:00:00"/>
    <n v="26.465185200136286"/>
    <s v="xxx"/>
    <m/>
    <x v="9"/>
  </r>
  <r>
    <x v="10"/>
    <n v="270"/>
    <s v="4 steps South"/>
    <s v="45824,08396"/>
    <n v="1"/>
    <n v="1"/>
    <d v="2020-10-06T00:00:00"/>
    <n v="18.484063955215312"/>
    <n v="15.5"/>
    <n v="14.8"/>
    <x v="10"/>
  </r>
  <r>
    <x v="11"/>
    <n v="230"/>
    <s v="3 steps Northwest"/>
    <s v="45963,08146"/>
    <n v="3"/>
    <n v="2"/>
    <d v="2020-10-06T00:00:00"/>
    <n v="20.607053244432329"/>
    <n v="14.3"/>
    <n v="9.1999999999999993"/>
    <x v="11"/>
  </r>
  <r>
    <x v="12"/>
    <n v="256"/>
    <s v="3 steps South East (outside thorns)"/>
    <s v="45793, 07631"/>
    <n v="1"/>
    <n v="1"/>
    <d v="2020-10-07T00:00:00"/>
    <n v="33.758288229572564"/>
    <n v="14.6"/>
    <n v="12.7"/>
    <x v="12"/>
  </r>
  <r>
    <x v="13"/>
    <n v="460"/>
    <s v="3 steps South"/>
    <s v="46590, 09022"/>
    <n v="2"/>
    <n v="1"/>
    <d v="2020-10-08T00:00:00"/>
    <n v="20.355499762557308"/>
    <n v="24"/>
    <n v="19.8"/>
    <x v="13"/>
  </r>
  <r>
    <x v="14"/>
    <n v="140"/>
    <s v="2 Steps South (small crown)"/>
    <s v="46646, 09216"/>
    <n v="7"/>
    <n v="3"/>
    <d v="2020-10-08T00:00:00"/>
    <n v="28.901696306385141"/>
    <n v="5.5"/>
    <n v="5.5"/>
    <x v="14"/>
  </r>
  <r>
    <x v="15"/>
    <n v="267"/>
    <s v="2 steps South"/>
    <s v="46410, 09288"/>
    <n v="8"/>
    <n v="4"/>
    <d v="2020-10-08T00:00:00"/>
    <n v="26.825146765420499"/>
    <n v="13.8"/>
    <n v="11.2"/>
    <x v="15"/>
  </r>
  <r>
    <x v="16"/>
    <n v="354"/>
    <s v="3 steps South"/>
    <s v="46233, 09274"/>
    <n v="7"/>
    <n v="7"/>
    <d v="2020-10-09T00:00:00"/>
    <n v="26.12143284635453"/>
    <n v="12.2"/>
    <n v="12.3"/>
    <x v="16"/>
  </r>
  <r>
    <x v="17"/>
    <n v="270"/>
    <s v="3 steps South"/>
    <s v="46160, 09211"/>
    <n v="6"/>
    <n v="5"/>
    <d v="2020-10-09T00:00:00"/>
    <n v="27.622577852934789"/>
    <n v="18.2"/>
    <n v="17.3"/>
    <x v="10"/>
  </r>
  <r>
    <x v="18"/>
    <n v="240"/>
    <s v="3 Steps North"/>
    <s v="46025,09159"/>
    <n v="5"/>
    <n v="4"/>
    <d v="2020-10-09T00:00:00"/>
    <n v="26.732512760528241"/>
    <n v="13.6"/>
    <n v="14.3"/>
    <x v="17"/>
  </r>
  <r>
    <x v="19"/>
    <n v="223"/>
    <s v="3 steps South"/>
    <s v="45828, 09078"/>
    <n v="3"/>
    <n v="2"/>
    <d v="2020-10-09T00:00:00"/>
    <n v="20.799333423280103"/>
    <n v="15.7"/>
    <n v="11.1"/>
    <x v="18"/>
  </r>
  <r>
    <x v="20"/>
    <n v="256"/>
    <s v="3 steps South"/>
    <s v="45558, 08992"/>
    <n v="10"/>
    <n v="3"/>
    <d v="2020-10-09T00:00:00"/>
    <n v="21.038565739114205"/>
    <n v="15.6"/>
    <n v="12.8"/>
    <x v="12"/>
  </r>
  <r>
    <x v="21"/>
    <n v="182"/>
    <s v="3 steps South"/>
    <s v="45487, 09091"/>
    <n v="7"/>
    <n v="4"/>
    <d v="2020-10-09T00:00:00"/>
    <n v="16.528169778326287"/>
    <n v="17"/>
    <n v="18.7"/>
    <x v="19"/>
  </r>
  <r>
    <x v="22"/>
    <n v="200"/>
    <s v="3 steps South"/>
    <s v="45608, 09134"/>
    <n v="8"/>
    <n v="4"/>
    <d v="2020-10-09T00:00:00"/>
    <n v="17.085896630705133"/>
    <n v="12.9"/>
    <n v="7.9"/>
    <x v="20"/>
  </r>
  <r>
    <x v="23"/>
    <n v="250"/>
    <s v="3 steps South"/>
    <s v="45685, 09211"/>
    <n v="3"/>
    <n v="1"/>
    <d v="2020-10-09T00:00:00"/>
    <n v="20.105395993452451"/>
    <n v="14.4"/>
    <n v="12.5"/>
    <x v="21"/>
  </r>
  <r>
    <x v="24"/>
    <n v="234"/>
    <s v="3 steps South"/>
    <s v="45786, 09234"/>
    <n v="6"/>
    <n v="4"/>
    <d v="2020-10-09T00:00:00"/>
    <n v="17.599999999999998"/>
    <n v="16.7"/>
    <n v="11.6"/>
    <x v="22"/>
  </r>
  <r>
    <x v="25"/>
    <n v="200"/>
    <s v="3 Steps Southwest"/>
    <s v="46004, 09236"/>
    <n v="9"/>
    <n v="3"/>
    <d v="2020-10-09T00:00:00"/>
    <n v="23.463045974165968"/>
    <n v="17.600000000000001"/>
    <n v="12.5"/>
    <x v="20"/>
  </r>
  <r>
    <x v="26"/>
    <n v="219"/>
    <s v="2 steps West"/>
    <s v="46038, 09375"/>
    <n v="7"/>
    <n v="6"/>
    <d v="2020-10-09T00:00:00"/>
    <n v="18.262529487136646"/>
    <n v="15.1"/>
    <n v="8.1"/>
    <x v="23"/>
  </r>
  <r>
    <x v="27"/>
    <n v="240"/>
    <s v="3 Steps North"/>
    <s v="46091, 09530"/>
    <n v="8"/>
    <n v="7"/>
    <d v="2020-10-09T00:00:00"/>
    <n v="17.402701593713651"/>
    <n v="13.8"/>
    <n v="8.4"/>
    <x v="17"/>
  </r>
  <r>
    <x v="28"/>
    <n v="144"/>
    <s v="2 steps South"/>
    <s v="46254, 09462"/>
    <n v="8"/>
    <n v="7"/>
    <d v="2020-10-09T00:00:00"/>
    <n v="26.177720332173916"/>
    <n v="16.8"/>
    <n v="11.3"/>
    <x v="24"/>
  </r>
  <r>
    <x v="29"/>
    <n v="192"/>
    <s v="3 steps Northwest"/>
    <s v="48402, 07248"/>
    <n v="8"/>
    <n v="3"/>
    <d v="2020-10-07T00:00:00"/>
    <n v="29.402634600306175"/>
    <n v="9.6"/>
    <n v="5.8"/>
    <x v="25"/>
  </r>
  <r>
    <x v="30"/>
    <n v="249"/>
    <s v="3 steps South"/>
    <s v="48418, 07366"/>
    <n v="7"/>
    <n v="3"/>
    <d v="2020-10-07T00:00:00"/>
    <n v="28.177268296810606"/>
    <n v="14.2"/>
    <n v="10.7"/>
    <x v="26"/>
  </r>
  <r>
    <x v="31"/>
    <n v="190"/>
    <s v="3 steps East"/>
    <s v="48596, 07035"/>
    <n v="8"/>
    <n v="5"/>
    <d v="2020-10-07T00:00:00"/>
    <n v="16.413318604915798"/>
    <n v="10.5"/>
    <n v="7.2"/>
    <x v="27"/>
  </r>
  <r>
    <x v="32"/>
    <n v="243"/>
    <s v="215 degrees SW, 4m 10 from tree"/>
    <s v="47975,07104"/>
    <n v="3"/>
    <n v="2"/>
    <d v="2020-10-05T00:00:00"/>
    <n v="18.24984692668167"/>
    <n v="13.5"/>
    <n v="8.8000000000000007"/>
    <x v="4"/>
  </r>
  <r>
    <x v="33"/>
    <n v="154"/>
    <s v="3 steps South"/>
    <s v="45958,08278"/>
    <n v="2"/>
    <n v="1"/>
    <d v="2020-10-06T00:00:00"/>
    <n v="12.742569945513491"/>
    <n v="16.2"/>
    <n v="10.3"/>
    <x v="7"/>
  </r>
  <r>
    <x v="34"/>
    <n v="244"/>
    <s v="3 steps East"/>
    <s v="46189, 07939"/>
    <n v="4"/>
    <n v="2"/>
    <d v="2020-10-06T00:00:00"/>
    <n v="14.267814813870499"/>
    <n v="11.8"/>
    <n v="11.4"/>
    <x v="28"/>
  </r>
  <r>
    <x v="35"/>
    <n v="146"/>
    <s v="3 steps South"/>
    <s v="46303, 07374"/>
    <n v="2"/>
    <n v="1"/>
    <d v="2020-10-08T00:00:00"/>
    <n v="20.496115559868755"/>
    <n v="10.3"/>
    <n v="12"/>
    <x v="29"/>
  </r>
  <r>
    <x v="36"/>
    <n v="288"/>
    <s v="4 steps South"/>
    <s v="46343, 06957"/>
    <n v="5"/>
    <n v="4"/>
    <d v="2020-10-08T00:00:00"/>
    <n v="26.760078503760035"/>
    <n v="19"/>
    <n v="15.3"/>
    <x v="30"/>
  </r>
  <r>
    <x v="37"/>
    <n v="244"/>
    <s v="3 steps East"/>
    <s v="46479, 06782"/>
    <n v="7"/>
    <n v="3"/>
    <d v="2020-10-08T00:00:00"/>
    <n v="16.10646470876544"/>
    <n v="19.399999999999999"/>
    <n v="12"/>
    <x v="28"/>
  </r>
  <r>
    <x v="38"/>
    <n v="380"/>
    <s v="4 steps South"/>
    <s v="46648, 06916"/>
    <n v="5"/>
    <n v="2"/>
    <d v="2020-10-08T00:00:00"/>
    <n v="19.926281922782429"/>
    <n v="19.8"/>
    <n v="12.7"/>
    <x v="31"/>
  </r>
  <r>
    <x v="39"/>
    <n v="233"/>
    <s v="5 Steps North (rest of crown blocked)"/>
    <s v="46239, 07106"/>
    <n v="3"/>
    <n v="2"/>
    <d v="2020-10-08T00:00:00"/>
    <n v="28.079819718543082"/>
    <s v="xxx"/>
    <m/>
    <x v="32"/>
  </r>
  <r>
    <x v="40"/>
    <n v="582"/>
    <s v="3 steps South"/>
    <s v="46081, 07175"/>
    <n v="3"/>
    <n v="1"/>
    <d v="2020-10-08T00:00:00"/>
    <m/>
    <n v="20.8"/>
    <n v="18.5"/>
    <x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9D255-F79B-473C-A527-DBD81F7D88A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3" firstHeaderRow="1" firstDataRow="1" firstDataCol="1"/>
  <pivotFields count="11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numFmtId="2" showAll="0">
      <items count="35">
        <item x="5"/>
        <item x="14"/>
        <item x="24"/>
        <item x="29"/>
        <item x="6"/>
        <item x="7"/>
        <item x="3"/>
        <item x="19"/>
        <item x="27"/>
        <item x="25"/>
        <item x="20"/>
        <item x="23"/>
        <item x="18"/>
        <item x="1"/>
        <item x="11"/>
        <item x="32"/>
        <item x="22"/>
        <item x="2"/>
        <item x="17"/>
        <item x="4"/>
        <item x="28"/>
        <item x="26"/>
        <item x="21"/>
        <item x="12"/>
        <item x="8"/>
        <item x="15"/>
        <item x="10"/>
        <item x="30"/>
        <item x="9"/>
        <item x="0"/>
        <item x="16"/>
        <item x="31"/>
        <item x="13"/>
        <item x="33"/>
        <item t="default"/>
      </items>
    </pivotField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Circumference" fld="10" baseField="0" baseItem="0"/>
  </dataFields>
  <chartFormats count="42">
    <chartFormat chart="0" format="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0" format="18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0" format="19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0" format="20" series="1">
      <pivotArea type="data" outline="0" fieldPosition="0">
        <references count="1">
          <reference field="0" count="1" selected="0">
            <x v="19"/>
          </reference>
        </references>
      </pivotArea>
    </chartFormat>
    <chartFormat chart="0" format="21" series="1">
      <pivotArea type="data" outline="0" fieldPosition="0">
        <references count="1">
          <reference field="0" count="1" selected="0">
            <x v="2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2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2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2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25"/>
          </reference>
        </references>
      </pivotArea>
    </chartFormat>
    <chartFormat chart="0" format="27" series="1">
      <pivotArea type="data" outline="0" fieldPosition="0">
        <references count="1">
          <reference field="0" count="1" selected="0">
            <x v="26"/>
          </reference>
        </references>
      </pivotArea>
    </chartFormat>
    <chartFormat chart="0" format="28" series="1">
      <pivotArea type="data" outline="0" fieldPosition="0">
        <references count="1">
          <reference field="0" count="1" selected="0">
            <x v="27"/>
          </reference>
        </references>
      </pivotArea>
    </chartFormat>
    <chartFormat chart="0" format="29" series="1">
      <pivotArea type="data" outline="0" fieldPosition="0">
        <references count="1">
          <reference field="0" count="1" selected="0">
            <x v="28"/>
          </reference>
        </references>
      </pivotArea>
    </chartFormat>
    <chartFormat chart="0" format="30" series="1">
      <pivotArea type="data" outline="0" fieldPosition="0">
        <references count="1">
          <reference field="0" count="1" selected="0">
            <x v="29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30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31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3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33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34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5"/>
          </reference>
        </references>
      </pivotArea>
    </chartFormat>
    <chartFormat chart="0" format="37" series="1">
      <pivotArea type="data" outline="0" fieldPosition="0">
        <references count="1">
          <reference field="0" count="1" selected="0">
            <x v="36"/>
          </reference>
        </references>
      </pivotArea>
    </chartFormat>
    <chartFormat chart="0" format="38" series="1">
      <pivotArea type="data" outline="0" fieldPosition="0">
        <references count="1">
          <reference field="0" count="1" selected="0">
            <x v="37"/>
          </reference>
        </references>
      </pivotArea>
    </chartFormat>
    <chartFormat chart="0" format="39" series="1">
      <pivotArea type="data" outline="0" fieldPosition="0">
        <references count="1">
          <reference field="0" count="1" selected="0">
            <x v="38"/>
          </reference>
        </references>
      </pivotArea>
    </chartFormat>
    <chartFormat chart="0" format="40" series="1">
      <pivotArea type="data" outline="0" fieldPosition="0">
        <references count="1">
          <reference field="0" count="1" selected="0">
            <x v="39"/>
          </reference>
        </references>
      </pivotArea>
    </chartFormat>
    <chartFormat chart="0" format="41" series="1">
      <pivotArea type="data" outline="0" fieldPosition="0">
        <references count="1">
          <reference field="0" count="1" selected="0">
            <x v="40"/>
          </reference>
        </references>
      </pivotArea>
    </chartFormat>
    <chartFormat chart="0" format="4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7250-0F88-4B93-901C-744DB5E0F5F2}">
  <dimension ref="A1:B43"/>
  <sheetViews>
    <sheetView workbookViewId="0">
      <selection activeCell="B1" sqref="B1:B1048576"/>
    </sheetView>
  </sheetViews>
  <sheetFormatPr defaultRowHeight="14.5" x14ac:dyDescent="0.35"/>
  <cols>
    <col min="1" max="1" width="12.36328125" bestFit="1" customWidth="1"/>
    <col min="2" max="2" width="19.36328125" bestFit="1" customWidth="1"/>
    <col min="3" max="10" width="1.81640625" bestFit="1" customWidth="1"/>
    <col min="11" max="42" width="2.81640625" bestFit="1" customWidth="1"/>
    <col min="43" max="43" width="10.7265625" bestFit="1" customWidth="1"/>
  </cols>
  <sheetData>
    <row r="1" spans="1:2" x14ac:dyDescent="0.35">
      <c r="A1" s="4" t="s">
        <v>74</v>
      </c>
      <c r="B1" t="s">
        <v>73</v>
      </c>
    </row>
    <row r="2" spans="1:2" x14ac:dyDescent="0.35">
      <c r="A2" s="5">
        <v>1</v>
      </c>
      <c r="B2">
        <v>99.631078530298353</v>
      </c>
    </row>
    <row r="3" spans="1:2" x14ac:dyDescent="0.35">
      <c r="A3" s="5">
        <v>2</v>
      </c>
      <c r="B3">
        <v>71.938095041046097</v>
      </c>
    </row>
    <row r="4" spans="1:2" x14ac:dyDescent="0.35">
      <c r="A4" s="5">
        <v>3</v>
      </c>
      <c r="B4">
        <v>75.757816901632609</v>
      </c>
    </row>
    <row r="5" spans="1:2" x14ac:dyDescent="0.35">
      <c r="A5" s="5">
        <v>4</v>
      </c>
      <c r="B5">
        <v>55.704277133553397</v>
      </c>
    </row>
    <row r="6" spans="1:2" x14ac:dyDescent="0.35">
      <c r="A6" s="5">
        <v>5</v>
      </c>
      <c r="B6">
        <v>77.349367676876994</v>
      </c>
    </row>
    <row r="7" spans="1:2" x14ac:dyDescent="0.35">
      <c r="A7" s="5">
        <v>6</v>
      </c>
      <c r="B7">
        <v>41.062010001305076</v>
      </c>
    </row>
    <row r="8" spans="1:2" x14ac:dyDescent="0.35">
      <c r="A8" s="5">
        <v>7</v>
      </c>
      <c r="B8">
        <v>47.428213102282605</v>
      </c>
    </row>
    <row r="9" spans="1:2" x14ac:dyDescent="0.35">
      <c r="A9" s="5">
        <v>8</v>
      </c>
      <c r="B9">
        <v>49.019763877526984</v>
      </c>
    </row>
    <row r="10" spans="1:2" x14ac:dyDescent="0.35">
      <c r="A10" s="5">
        <v>9</v>
      </c>
      <c r="B10">
        <v>82.760640312707906</v>
      </c>
    </row>
    <row r="11" spans="1:2" x14ac:dyDescent="0.35">
      <c r="A11" s="5">
        <v>10</v>
      </c>
      <c r="B11">
        <v>93.583185584369701</v>
      </c>
    </row>
    <row r="12" spans="1:2" x14ac:dyDescent="0.35">
      <c r="A12" s="5">
        <v>11</v>
      </c>
      <c r="B12">
        <v>85.943741863196664</v>
      </c>
    </row>
    <row r="13" spans="1:2" x14ac:dyDescent="0.35">
      <c r="A13" s="5">
        <v>12</v>
      </c>
      <c r="B13">
        <v>73.211335661241606</v>
      </c>
    </row>
    <row r="14" spans="1:2" x14ac:dyDescent="0.35">
      <c r="A14" s="5">
        <v>13</v>
      </c>
      <c r="B14">
        <v>81.487399692512398</v>
      </c>
    </row>
    <row r="15" spans="1:2" x14ac:dyDescent="0.35">
      <c r="A15" s="5">
        <v>14</v>
      </c>
      <c r="B15">
        <v>146.42267132248321</v>
      </c>
    </row>
    <row r="16" spans="1:2" x14ac:dyDescent="0.35">
      <c r="A16" s="5">
        <v>15</v>
      </c>
      <c r="B16">
        <v>44.563421706842718</v>
      </c>
    </row>
    <row r="17" spans="1:2" x14ac:dyDescent="0.35">
      <c r="A17" s="5">
        <v>16</v>
      </c>
      <c r="B17">
        <v>84.988811398050032</v>
      </c>
    </row>
    <row r="18" spans="1:2" x14ac:dyDescent="0.35">
      <c r="A18" s="5">
        <v>17</v>
      </c>
      <c r="B18">
        <v>112.68179488730229</v>
      </c>
    </row>
    <row r="19" spans="1:2" x14ac:dyDescent="0.35">
      <c r="A19" s="5">
        <v>18</v>
      </c>
      <c r="B19">
        <v>85.943741863196664</v>
      </c>
    </row>
    <row r="20" spans="1:2" x14ac:dyDescent="0.35">
      <c r="A20" s="5">
        <v>19</v>
      </c>
      <c r="B20">
        <v>76.394437211730363</v>
      </c>
    </row>
    <row r="21" spans="1:2" x14ac:dyDescent="0.35">
      <c r="A21" s="5">
        <v>20</v>
      </c>
      <c r="B21">
        <v>70.983164575899465</v>
      </c>
    </row>
    <row r="22" spans="1:2" x14ac:dyDescent="0.35">
      <c r="A22" s="5">
        <v>21</v>
      </c>
      <c r="B22">
        <v>81.487399692512398</v>
      </c>
    </row>
    <row r="23" spans="1:2" x14ac:dyDescent="0.35">
      <c r="A23" s="5">
        <v>22</v>
      </c>
      <c r="B23">
        <v>57.93244821889553</v>
      </c>
    </row>
    <row r="24" spans="1:2" x14ac:dyDescent="0.35">
      <c r="A24" s="5">
        <v>23</v>
      </c>
      <c r="B24">
        <v>63.662031009775305</v>
      </c>
    </row>
    <row r="25" spans="1:2" x14ac:dyDescent="0.35">
      <c r="A25" s="5">
        <v>24</v>
      </c>
      <c r="B25">
        <v>79.577538762219135</v>
      </c>
    </row>
    <row r="26" spans="1:2" x14ac:dyDescent="0.35">
      <c r="A26" s="5">
        <v>25</v>
      </c>
      <c r="B26">
        <v>74.484576281437114</v>
      </c>
    </row>
    <row r="27" spans="1:2" x14ac:dyDescent="0.35">
      <c r="A27" s="5">
        <v>26</v>
      </c>
      <c r="B27">
        <v>63.662031009775305</v>
      </c>
    </row>
    <row r="28" spans="1:2" x14ac:dyDescent="0.35">
      <c r="A28" s="5">
        <v>27</v>
      </c>
      <c r="B28">
        <v>69.709923955703957</v>
      </c>
    </row>
    <row r="29" spans="1:2" x14ac:dyDescent="0.35">
      <c r="A29" s="5">
        <v>28</v>
      </c>
      <c r="B29">
        <v>76.394437211730363</v>
      </c>
    </row>
    <row r="30" spans="1:2" x14ac:dyDescent="0.35">
      <c r="A30" s="5">
        <v>29</v>
      </c>
      <c r="B30">
        <v>45.836662327038219</v>
      </c>
    </row>
    <row r="31" spans="1:2" x14ac:dyDescent="0.35">
      <c r="A31" s="5">
        <v>30</v>
      </c>
      <c r="B31">
        <v>61.115549769384295</v>
      </c>
    </row>
    <row r="32" spans="1:2" x14ac:dyDescent="0.35">
      <c r="A32" s="5">
        <v>31</v>
      </c>
      <c r="B32">
        <v>79.259228607170257</v>
      </c>
    </row>
    <row r="33" spans="1:2" x14ac:dyDescent="0.35">
      <c r="A33" s="5">
        <v>32</v>
      </c>
      <c r="B33">
        <v>60.47892945928654</v>
      </c>
    </row>
    <row r="34" spans="1:2" x14ac:dyDescent="0.35">
      <c r="A34" s="5">
        <v>33</v>
      </c>
      <c r="B34">
        <v>77.349367676876994</v>
      </c>
    </row>
    <row r="35" spans="1:2" x14ac:dyDescent="0.35">
      <c r="A35" s="5">
        <v>34</v>
      </c>
      <c r="B35">
        <v>49.019763877526984</v>
      </c>
    </row>
    <row r="36" spans="1:2" x14ac:dyDescent="0.35">
      <c r="A36" s="5">
        <v>35</v>
      </c>
      <c r="B36">
        <v>77.667677831925872</v>
      </c>
    </row>
    <row r="37" spans="1:2" x14ac:dyDescent="0.35">
      <c r="A37" s="5">
        <v>36</v>
      </c>
      <c r="B37">
        <v>46.473282637135974</v>
      </c>
    </row>
    <row r="38" spans="1:2" x14ac:dyDescent="0.35">
      <c r="A38" s="5">
        <v>37</v>
      </c>
      <c r="B38">
        <v>91.673324654076438</v>
      </c>
    </row>
    <row r="39" spans="1:2" x14ac:dyDescent="0.35">
      <c r="A39" s="5">
        <v>38</v>
      </c>
      <c r="B39">
        <v>77.667677831925872</v>
      </c>
    </row>
    <row r="40" spans="1:2" x14ac:dyDescent="0.35">
      <c r="A40" s="5">
        <v>39</v>
      </c>
      <c r="B40">
        <v>120.95785891857308</v>
      </c>
    </row>
    <row r="41" spans="1:2" x14ac:dyDescent="0.35">
      <c r="A41" s="5">
        <v>40</v>
      </c>
      <c r="B41">
        <v>74.166266126388237</v>
      </c>
    </row>
    <row r="42" spans="1:2" x14ac:dyDescent="0.35">
      <c r="A42" s="5">
        <v>41</v>
      </c>
      <c r="B42">
        <v>185.25651023844614</v>
      </c>
    </row>
    <row r="43" spans="1:2" x14ac:dyDescent="0.35">
      <c r="A43" s="5" t="s">
        <v>75</v>
      </c>
      <c r="B43">
        <v>3170.6874544418597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89EF-048F-473E-BC3B-2558E7FBC134}">
  <dimension ref="A1:L42"/>
  <sheetViews>
    <sheetView tabSelected="1" zoomScale="8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" sqref="K1:L1048576"/>
    </sheetView>
  </sheetViews>
  <sheetFormatPr defaultRowHeight="14.5" x14ac:dyDescent="0.35"/>
  <cols>
    <col min="2" max="2" width="12.7265625" customWidth="1"/>
    <col min="3" max="3" width="15" customWidth="1"/>
    <col min="4" max="4" width="16.26953125" customWidth="1"/>
    <col min="5" max="5" width="14.1796875" customWidth="1"/>
    <col min="6" max="6" width="13.36328125" customWidth="1"/>
    <col min="7" max="7" width="13.453125" customWidth="1"/>
    <col min="8" max="8" width="12.81640625" customWidth="1"/>
    <col min="9" max="9" width="16.81640625" customWidth="1"/>
    <col min="10" max="10" width="14.08984375" customWidth="1"/>
    <col min="11" max="11" width="14.1796875" customWidth="1"/>
  </cols>
  <sheetData>
    <row r="1" spans="1:12" x14ac:dyDescent="0.35">
      <c r="A1" t="s">
        <v>0</v>
      </c>
      <c r="B1" t="s">
        <v>72</v>
      </c>
      <c r="C1" t="s">
        <v>2</v>
      </c>
      <c r="D1" t="s">
        <v>4</v>
      </c>
      <c r="E1" t="s">
        <v>8</v>
      </c>
      <c r="F1" t="s">
        <v>9</v>
      </c>
      <c r="G1" t="s">
        <v>6</v>
      </c>
      <c r="H1" t="s">
        <v>7</v>
      </c>
      <c r="I1" t="s">
        <v>69</v>
      </c>
      <c r="J1" t="s">
        <v>70</v>
      </c>
      <c r="K1" t="s">
        <v>1</v>
      </c>
      <c r="L1" t="s">
        <v>76</v>
      </c>
    </row>
    <row r="2" spans="1:12" x14ac:dyDescent="0.35">
      <c r="A2">
        <v>1</v>
      </c>
      <c r="B2" s="3">
        <v>313</v>
      </c>
      <c r="C2" t="s">
        <v>23</v>
      </c>
      <c r="D2" s="1" t="s">
        <v>24</v>
      </c>
      <c r="E2">
        <v>3</v>
      </c>
      <c r="F2">
        <v>4</v>
      </c>
      <c r="G2" s="2">
        <v>44110</v>
      </c>
      <c r="H2">
        <v>28.71360091457024</v>
      </c>
      <c r="I2">
        <v>19.7</v>
      </c>
      <c r="J2">
        <v>12.5</v>
      </c>
      <c r="K2" s="3">
        <f>B2/3.14159</f>
        <v>99.631078530298353</v>
      </c>
      <c r="L2">
        <v>219.37</v>
      </c>
    </row>
    <row r="3" spans="1:12" x14ac:dyDescent="0.35">
      <c r="A3">
        <v>2</v>
      </c>
      <c r="B3">
        <v>226</v>
      </c>
      <c r="C3" t="s">
        <v>12</v>
      </c>
      <c r="D3" s="1" t="s">
        <v>30</v>
      </c>
      <c r="E3">
        <v>3</v>
      </c>
      <c r="F3">
        <v>3</v>
      </c>
      <c r="G3" s="2">
        <v>44111</v>
      </c>
      <c r="H3">
        <v>17.498568837127838</v>
      </c>
      <c r="I3">
        <v>16.399999999999999</v>
      </c>
      <c r="J3">
        <v>14.5</v>
      </c>
      <c r="K3" s="3">
        <f t="shared" ref="K3:K40" si="0">B3/3.14159</f>
        <v>71.938095041046097</v>
      </c>
      <c r="L3">
        <v>198.43</v>
      </c>
    </row>
    <row r="4" spans="1:12" x14ac:dyDescent="0.35">
      <c r="A4">
        <v>3</v>
      </c>
      <c r="B4">
        <v>238</v>
      </c>
      <c r="C4" t="s">
        <v>34</v>
      </c>
      <c r="D4" s="1" t="s">
        <v>35</v>
      </c>
      <c r="E4">
        <v>6</v>
      </c>
      <c r="F4">
        <v>7</v>
      </c>
      <c r="G4" s="2">
        <v>44111</v>
      </c>
      <c r="H4">
        <v>16.880047340913116</v>
      </c>
      <c r="I4">
        <v>13.1</v>
      </c>
      <c r="J4">
        <v>9.1999999999999993</v>
      </c>
      <c r="K4" s="3">
        <f t="shared" si="0"/>
        <v>75.757816901632609</v>
      </c>
      <c r="L4">
        <v>188.34</v>
      </c>
    </row>
    <row r="5" spans="1:12" x14ac:dyDescent="0.35">
      <c r="A5">
        <v>4</v>
      </c>
      <c r="B5">
        <v>175</v>
      </c>
      <c r="C5" t="s">
        <v>12</v>
      </c>
      <c r="D5" s="1" t="s">
        <v>31</v>
      </c>
      <c r="E5">
        <v>6</v>
      </c>
      <c r="F5">
        <v>5</v>
      </c>
      <c r="G5" s="2">
        <v>44111</v>
      </c>
      <c r="H5">
        <v>17.864875975818567</v>
      </c>
      <c r="I5">
        <v>10.5</v>
      </c>
      <c r="J5">
        <v>6.7</v>
      </c>
      <c r="K5" s="3">
        <f t="shared" si="0"/>
        <v>55.704277133553397</v>
      </c>
      <c r="L5">
        <v>188.34</v>
      </c>
    </row>
    <row r="6" spans="1:12" x14ac:dyDescent="0.35">
      <c r="A6">
        <v>5</v>
      </c>
      <c r="B6">
        <v>243</v>
      </c>
      <c r="C6" t="s">
        <v>32</v>
      </c>
      <c r="D6" t="s">
        <v>33</v>
      </c>
      <c r="E6">
        <v>8</v>
      </c>
      <c r="F6">
        <v>6</v>
      </c>
      <c r="G6" s="2">
        <v>44111</v>
      </c>
      <c r="H6">
        <v>25.769999999999996</v>
      </c>
      <c r="I6">
        <v>18.100000000000001</v>
      </c>
      <c r="J6">
        <v>14.4</v>
      </c>
      <c r="K6" s="3">
        <f t="shared" si="0"/>
        <v>77.349367676876994</v>
      </c>
      <c r="L6">
        <v>188.34</v>
      </c>
    </row>
    <row r="7" spans="1:12" x14ac:dyDescent="0.35">
      <c r="A7">
        <v>6</v>
      </c>
      <c r="B7">
        <v>129</v>
      </c>
      <c r="C7" t="s">
        <v>12</v>
      </c>
      <c r="D7" s="1" t="s">
        <v>18</v>
      </c>
      <c r="E7">
        <v>2</v>
      </c>
      <c r="F7">
        <v>2</v>
      </c>
      <c r="G7" s="2">
        <v>44110</v>
      </c>
      <c r="H7">
        <v>14.111212837360837</v>
      </c>
      <c r="I7">
        <v>11.3</v>
      </c>
      <c r="J7">
        <v>10.199999999999999</v>
      </c>
      <c r="K7" s="3">
        <f t="shared" si="0"/>
        <v>41.062010001305076</v>
      </c>
      <c r="L7">
        <v>242.45</v>
      </c>
    </row>
    <row r="8" spans="1:12" x14ac:dyDescent="0.35">
      <c r="A8">
        <v>7</v>
      </c>
      <c r="B8">
        <v>149</v>
      </c>
      <c r="C8" t="s">
        <v>19</v>
      </c>
      <c r="D8" s="1" t="s">
        <v>20</v>
      </c>
      <c r="E8">
        <v>8</v>
      </c>
      <c r="F8">
        <v>4</v>
      </c>
      <c r="G8" s="2">
        <v>44110</v>
      </c>
      <c r="H8">
        <v>21.596316978070721</v>
      </c>
      <c r="I8">
        <v>11.2</v>
      </c>
      <c r="J8">
        <v>13.4</v>
      </c>
      <c r="K8" s="3">
        <f t="shared" si="0"/>
        <v>47.428213102282605</v>
      </c>
      <c r="L8">
        <v>196.98</v>
      </c>
    </row>
    <row r="9" spans="1:12" x14ac:dyDescent="0.35">
      <c r="A9">
        <v>8</v>
      </c>
      <c r="B9">
        <v>154</v>
      </c>
      <c r="C9" t="s">
        <v>12</v>
      </c>
      <c r="D9" s="1" t="s">
        <v>22</v>
      </c>
      <c r="E9">
        <v>1</v>
      </c>
      <c r="F9">
        <v>1</v>
      </c>
      <c r="G9" s="2">
        <v>44110</v>
      </c>
      <c r="H9">
        <v>13.997387038186549</v>
      </c>
      <c r="I9">
        <v>12.8</v>
      </c>
      <c r="J9">
        <v>14.1</v>
      </c>
      <c r="K9" s="3">
        <f t="shared" si="0"/>
        <v>49.019763877526984</v>
      </c>
      <c r="L9">
        <v>191.5</v>
      </c>
    </row>
    <row r="10" spans="1:12" x14ac:dyDescent="0.35">
      <c r="A10">
        <v>9</v>
      </c>
      <c r="B10">
        <v>260</v>
      </c>
      <c r="C10" t="s">
        <v>12</v>
      </c>
      <c r="D10" s="1" t="s">
        <v>21</v>
      </c>
      <c r="E10">
        <v>6</v>
      </c>
      <c r="F10">
        <v>2</v>
      </c>
      <c r="G10" s="2">
        <v>44110</v>
      </c>
      <c r="H10">
        <v>20.946115559868758</v>
      </c>
      <c r="I10">
        <v>15</v>
      </c>
      <c r="J10">
        <v>11.3</v>
      </c>
      <c r="K10" s="3">
        <f t="shared" si="0"/>
        <v>82.760640312707906</v>
      </c>
      <c r="L10">
        <v>294.32</v>
      </c>
    </row>
    <row r="11" spans="1:12" x14ac:dyDescent="0.35">
      <c r="A11">
        <v>11</v>
      </c>
      <c r="B11">
        <v>270</v>
      </c>
      <c r="C11" t="s">
        <v>11</v>
      </c>
      <c r="D11" s="1" t="s">
        <v>14</v>
      </c>
      <c r="E11">
        <v>1</v>
      </c>
      <c r="F11">
        <v>1</v>
      </c>
      <c r="G11" s="2">
        <v>44110</v>
      </c>
      <c r="H11">
        <v>18.484063955215312</v>
      </c>
      <c r="I11">
        <v>15.5</v>
      </c>
      <c r="J11">
        <v>14.8</v>
      </c>
      <c r="K11" s="3">
        <f>B11/3.14159</f>
        <v>85.943741863196664</v>
      </c>
      <c r="L11">
        <v>326.52</v>
      </c>
    </row>
    <row r="12" spans="1:12" x14ac:dyDescent="0.35">
      <c r="A12">
        <v>12</v>
      </c>
      <c r="B12">
        <v>230</v>
      </c>
      <c r="C12" t="s">
        <v>10</v>
      </c>
      <c r="D12" s="1" t="s">
        <v>16</v>
      </c>
      <c r="E12">
        <v>3</v>
      </c>
      <c r="F12">
        <v>2</v>
      </c>
      <c r="G12" s="2">
        <v>44110</v>
      </c>
      <c r="H12">
        <v>20.607053244432329</v>
      </c>
      <c r="I12">
        <v>14.3</v>
      </c>
      <c r="J12">
        <v>9.1999999999999993</v>
      </c>
      <c r="K12" s="3">
        <f t="shared" si="0"/>
        <v>73.211335661241606</v>
      </c>
      <c r="L12">
        <v>167</v>
      </c>
    </row>
    <row r="13" spans="1:12" x14ac:dyDescent="0.35">
      <c r="A13">
        <v>13</v>
      </c>
      <c r="B13">
        <v>256</v>
      </c>
      <c r="C13" t="s">
        <v>28</v>
      </c>
      <c r="D13" s="1" t="s">
        <v>29</v>
      </c>
      <c r="E13">
        <v>1</v>
      </c>
      <c r="F13">
        <v>1</v>
      </c>
      <c r="G13" s="2">
        <v>44111</v>
      </c>
      <c r="H13">
        <v>33.758288229572564</v>
      </c>
      <c r="I13">
        <v>14.6</v>
      </c>
      <c r="J13">
        <v>12.7</v>
      </c>
      <c r="K13" s="3">
        <f>B13/3.14159</f>
        <v>81.487399692512398</v>
      </c>
      <c r="L13">
        <v>179</v>
      </c>
    </row>
    <row r="14" spans="1:12" x14ac:dyDescent="0.35">
      <c r="A14">
        <v>14</v>
      </c>
      <c r="B14">
        <v>460</v>
      </c>
      <c r="C14" t="s">
        <v>12</v>
      </c>
      <c r="D14" s="1" t="s">
        <v>42</v>
      </c>
      <c r="E14">
        <v>2</v>
      </c>
      <c r="F14">
        <v>1</v>
      </c>
      <c r="G14" s="2">
        <v>44112</v>
      </c>
      <c r="H14">
        <v>20.355499762557308</v>
      </c>
      <c r="I14">
        <v>24</v>
      </c>
      <c r="J14">
        <v>19.8</v>
      </c>
      <c r="K14" s="3">
        <f t="shared" si="0"/>
        <v>146.42267132248321</v>
      </c>
      <c r="L14">
        <v>20.16</v>
      </c>
    </row>
    <row r="15" spans="1:12" x14ac:dyDescent="0.35">
      <c r="A15">
        <v>15</v>
      </c>
      <c r="B15">
        <v>140</v>
      </c>
      <c r="C15" t="s">
        <v>43</v>
      </c>
      <c r="D15" s="1" t="s">
        <v>44</v>
      </c>
      <c r="E15">
        <v>7</v>
      </c>
      <c r="F15">
        <v>3</v>
      </c>
      <c r="G15" s="2">
        <v>44112</v>
      </c>
      <c r="H15">
        <v>28.901696306385141</v>
      </c>
      <c r="I15">
        <v>5.5</v>
      </c>
      <c r="J15">
        <v>5.5</v>
      </c>
      <c r="K15" s="3">
        <f t="shared" si="0"/>
        <v>44.563421706842718</v>
      </c>
      <c r="L15">
        <v>18.43</v>
      </c>
    </row>
    <row r="16" spans="1:12" x14ac:dyDescent="0.35">
      <c r="A16">
        <v>16</v>
      </c>
      <c r="B16">
        <v>267</v>
      </c>
      <c r="C16" t="s">
        <v>34</v>
      </c>
      <c r="D16" s="1" t="s">
        <v>45</v>
      </c>
      <c r="E16">
        <v>8</v>
      </c>
      <c r="F16">
        <v>4</v>
      </c>
      <c r="G16" s="2">
        <v>44112</v>
      </c>
      <c r="H16">
        <v>26.825146765420499</v>
      </c>
      <c r="I16">
        <v>13.8</v>
      </c>
      <c r="J16">
        <v>11.2</v>
      </c>
      <c r="K16" s="3">
        <f t="shared" si="0"/>
        <v>84.988811398050032</v>
      </c>
      <c r="L16">
        <v>5.31</v>
      </c>
    </row>
    <row r="17" spans="1:12" x14ac:dyDescent="0.35">
      <c r="A17">
        <v>17</v>
      </c>
      <c r="B17">
        <v>354</v>
      </c>
      <c r="C17" t="s">
        <v>47</v>
      </c>
      <c r="D17" s="1" t="s">
        <v>59</v>
      </c>
      <c r="E17">
        <v>7</v>
      </c>
      <c r="F17">
        <v>7</v>
      </c>
      <c r="G17" s="2">
        <v>44113</v>
      </c>
      <c r="H17">
        <v>26.12143284635453</v>
      </c>
      <c r="I17">
        <v>12.2</v>
      </c>
      <c r="J17">
        <v>12.3</v>
      </c>
      <c r="K17" s="3">
        <f t="shared" si="0"/>
        <v>112.68179488730229</v>
      </c>
      <c r="L17">
        <v>355.4</v>
      </c>
    </row>
    <row r="18" spans="1:12" x14ac:dyDescent="0.35">
      <c r="A18">
        <v>18</v>
      </c>
      <c r="B18">
        <v>270</v>
      </c>
      <c r="C18" t="s">
        <v>47</v>
      </c>
      <c r="D18" s="1" t="s">
        <v>60</v>
      </c>
      <c r="E18">
        <v>6</v>
      </c>
      <c r="F18">
        <v>5</v>
      </c>
      <c r="G18" s="2">
        <v>44113</v>
      </c>
      <c r="H18">
        <v>27.622577852934789</v>
      </c>
      <c r="I18">
        <v>18.2</v>
      </c>
      <c r="J18">
        <v>17.3</v>
      </c>
      <c r="K18" s="3">
        <f t="shared" si="0"/>
        <v>85.943741863196664</v>
      </c>
      <c r="L18">
        <v>1</v>
      </c>
    </row>
    <row r="19" spans="1:12" x14ac:dyDescent="0.35">
      <c r="A19">
        <v>19</v>
      </c>
      <c r="B19">
        <v>240</v>
      </c>
      <c r="C19" t="s">
        <v>61</v>
      </c>
      <c r="D19" s="1" t="s">
        <v>62</v>
      </c>
      <c r="E19">
        <v>5</v>
      </c>
      <c r="F19">
        <v>4</v>
      </c>
      <c r="G19" s="2">
        <v>44113</v>
      </c>
      <c r="H19">
        <v>26.732512760528241</v>
      </c>
      <c r="I19">
        <v>13.6</v>
      </c>
      <c r="J19">
        <v>14.3</v>
      </c>
      <c r="K19" s="3">
        <f t="shared" si="0"/>
        <v>76.394437211730363</v>
      </c>
      <c r="L19">
        <v>2.33</v>
      </c>
    </row>
    <row r="20" spans="1:12" x14ac:dyDescent="0.35">
      <c r="A20">
        <v>20</v>
      </c>
      <c r="B20">
        <v>223</v>
      </c>
      <c r="C20" t="s">
        <v>47</v>
      </c>
      <c r="D20" s="1" t="s">
        <v>63</v>
      </c>
      <c r="E20">
        <v>3</v>
      </c>
      <c r="F20">
        <v>2</v>
      </c>
      <c r="G20" s="2">
        <v>44113</v>
      </c>
      <c r="H20">
        <v>20.799333423280103</v>
      </c>
      <c r="I20">
        <v>15.7</v>
      </c>
      <c r="J20">
        <v>11.1</v>
      </c>
      <c r="K20" s="3">
        <f t="shared" si="0"/>
        <v>70.983164575899465</v>
      </c>
      <c r="L20">
        <v>349.55</v>
      </c>
    </row>
    <row r="21" spans="1:12" x14ac:dyDescent="0.35">
      <c r="A21">
        <v>21</v>
      </c>
      <c r="B21">
        <v>256</v>
      </c>
      <c r="C21" t="s">
        <v>12</v>
      </c>
      <c r="D21" s="1" t="s">
        <v>46</v>
      </c>
      <c r="E21">
        <v>10</v>
      </c>
      <c r="F21">
        <v>3</v>
      </c>
      <c r="G21" s="2">
        <v>44113</v>
      </c>
      <c r="H21">
        <v>21.038565739114205</v>
      </c>
      <c r="I21">
        <v>15.6</v>
      </c>
      <c r="J21">
        <v>12.8</v>
      </c>
      <c r="K21" s="3">
        <f t="shared" si="0"/>
        <v>81.487399692512398</v>
      </c>
      <c r="L21">
        <v>337.09</v>
      </c>
    </row>
    <row r="22" spans="1:12" x14ac:dyDescent="0.35">
      <c r="A22">
        <v>22</v>
      </c>
      <c r="B22">
        <v>182</v>
      </c>
      <c r="C22" t="s">
        <v>47</v>
      </c>
      <c r="D22" s="1" t="s">
        <v>48</v>
      </c>
      <c r="E22">
        <v>7</v>
      </c>
      <c r="F22">
        <v>4</v>
      </c>
      <c r="G22" s="2">
        <v>44113</v>
      </c>
      <c r="H22">
        <v>16.528169778326287</v>
      </c>
      <c r="I22">
        <v>17</v>
      </c>
      <c r="J22">
        <v>18.7</v>
      </c>
      <c r="K22" s="3">
        <f t="shared" si="0"/>
        <v>57.93244821889553</v>
      </c>
      <c r="L22">
        <v>332.4</v>
      </c>
    </row>
    <row r="23" spans="1:12" x14ac:dyDescent="0.35">
      <c r="A23">
        <v>23</v>
      </c>
      <c r="B23">
        <v>200</v>
      </c>
      <c r="C23" t="s">
        <v>12</v>
      </c>
      <c r="D23" s="1" t="s">
        <v>49</v>
      </c>
      <c r="E23">
        <v>8</v>
      </c>
      <c r="F23">
        <v>4</v>
      </c>
      <c r="G23" s="2">
        <v>44113</v>
      </c>
      <c r="H23">
        <v>17.085896630705133</v>
      </c>
      <c r="I23">
        <v>12.9</v>
      </c>
      <c r="J23">
        <v>7.9</v>
      </c>
      <c r="K23" s="3">
        <f t="shared" si="0"/>
        <v>63.662031009775305</v>
      </c>
      <c r="L23">
        <v>337.09</v>
      </c>
    </row>
    <row r="24" spans="1:12" x14ac:dyDescent="0.35">
      <c r="A24">
        <v>24</v>
      </c>
      <c r="B24">
        <v>250</v>
      </c>
      <c r="C24" t="s">
        <v>12</v>
      </c>
      <c r="D24" s="1" t="s">
        <v>50</v>
      </c>
      <c r="E24">
        <v>3</v>
      </c>
      <c r="F24">
        <v>1</v>
      </c>
      <c r="G24" s="2">
        <v>44113</v>
      </c>
      <c r="H24">
        <v>20.105395993452451</v>
      </c>
      <c r="I24">
        <v>14.4</v>
      </c>
      <c r="J24">
        <v>12.5</v>
      </c>
      <c r="K24" s="3">
        <f t="shared" si="0"/>
        <v>79.577538762219135</v>
      </c>
      <c r="L24">
        <v>346.92</v>
      </c>
    </row>
    <row r="25" spans="1:12" x14ac:dyDescent="0.35">
      <c r="A25">
        <v>25</v>
      </c>
      <c r="B25">
        <v>234</v>
      </c>
      <c r="C25" t="s">
        <v>47</v>
      </c>
      <c r="D25" s="1" t="s">
        <v>51</v>
      </c>
      <c r="E25">
        <v>6</v>
      </c>
      <c r="F25">
        <v>4</v>
      </c>
      <c r="G25" s="2">
        <v>44113</v>
      </c>
      <c r="H25">
        <v>17.599999999999998</v>
      </c>
      <c r="I25">
        <v>16.7</v>
      </c>
      <c r="J25">
        <v>11.6</v>
      </c>
      <c r="K25" s="3">
        <f t="shared" si="0"/>
        <v>74.484576281437114</v>
      </c>
      <c r="L25">
        <v>349.3</v>
      </c>
    </row>
    <row r="26" spans="1:12" x14ac:dyDescent="0.35">
      <c r="A26">
        <v>26</v>
      </c>
      <c r="B26">
        <v>200</v>
      </c>
      <c r="C26" t="s">
        <v>52</v>
      </c>
      <c r="D26" s="1" t="s">
        <v>53</v>
      </c>
      <c r="E26">
        <v>9</v>
      </c>
      <c r="F26">
        <v>3</v>
      </c>
      <c r="G26" s="2">
        <v>44113</v>
      </c>
      <c r="H26">
        <v>23.463045974165968</v>
      </c>
      <c r="I26">
        <v>17.600000000000001</v>
      </c>
      <c r="J26">
        <v>12.5</v>
      </c>
      <c r="K26" s="3">
        <f t="shared" si="0"/>
        <v>63.662031009775305</v>
      </c>
      <c r="L26">
        <v>2.33</v>
      </c>
    </row>
    <row r="27" spans="1:12" x14ac:dyDescent="0.35">
      <c r="A27">
        <v>27</v>
      </c>
      <c r="B27">
        <v>219</v>
      </c>
      <c r="C27" t="s">
        <v>54</v>
      </c>
      <c r="D27" s="1" t="s">
        <v>55</v>
      </c>
      <c r="E27">
        <v>7</v>
      </c>
      <c r="F27">
        <v>6</v>
      </c>
      <c r="G27" s="2">
        <v>44113</v>
      </c>
      <c r="H27">
        <v>18.262529487136646</v>
      </c>
      <c r="I27">
        <v>15.1</v>
      </c>
      <c r="J27">
        <v>8.1</v>
      </c>
      <c r="K27" s="3">
        <f t="shared" si="0"/>
        <v>69.709923955703957</v>
      </c>
      <c r="L27">
        <v>2.33</v>
      </c>
    </row>
    <row r="28" spans="1:12" x14ac:dyDescent="0.35">
      <c r="A28">
        <v>28</v>
      </c>
      <c r="B28">
        <v>240</v>
      </c>
      <c r="C28" t="s">
        <v>56</v>
      </c>
      <c r="D28" s="1" t="s">
        <v>57</v>
      </c>
      <c r="E28">
        <v>8</v>
      </c>
      <c r="F28">
        <v>7</v>
      </c>
      <c r="G28" s="2">
        <v>44113</v>
      </c>
      <c r="H28">
        <v>17.402701593713651</v>
      </c>
      <c r="I28">
        <v>13.8</v>
      </c>
      <c r="J28">
        <v>8.4</v>
      </c>
      <c r="K28" s="3">
        <f t="shared" si="0"/>
        <v>76.394437211730363</v>
      </c>
      <c r="L28">
        <v>358.03</v>
      </c>
    </row>
    <row r="29" spans="1:12" x14ac:dyDescent="0.35">
      <c r="A29">
        <v>29</v>
      </c>
      <c r="B29">
        <v>144</v>
      </c>
      <c r="C29" t="s">
        <v>34</v>
      </c>
      <c r="D29" s="1" t="s">
        <v>58</v>
      </c>
      <c r="E29">
        <v>8</v>
      </c>
      <c r="F29">
        <v>7</v>
      </c>
      <c r="G29" s="2">
        <v>44113</v>
      </c>
      <c r="H29">
        <v>26.177720332173916</v>
      </c>
      <c r="I29">
        <v>16.8</v>
      </c>
      <c r="J29">
        <v>11.3</v>
      </c>
      <c r="K29" s="3">
        <f t="shared" si="0"/>
        <v>45.836662327038219</v>
      </c>
      <c r="L29">
        <v>359.52</v>
      </c>
    </row>
    <row r="30" spans="1:12" x14ac:dyDescent="0.35">
      <c r="A30">
        <v>30</v>
      </c>
      <c r="B30">
        <v>192</v>
      </c>
      <c r="C30" t="s">
        <v>10</v>
      </c>
      <c r="D30" s="1" t="s">
        <v>26</v>
      </c>
      <c r="E30">
        <v>8</v>
      </c>
      <c r="F30">
        <v>3</v>
      </c>
      <c r="G30" s="2">
        <v>44111</v>
      </c>
      <c r="H30">
        <v>29.402634600306175</v>
      </c>
      <c r="I30">
        <v>9.6</v>
      </c>
      <c r="J30">
        <v>5.8</v>
      </c>
      <c r="K30" s="3">
        <f t="shared" si="0"/>
        <v>61.115549769384295</v>
      </c>
      <c r="L30">
        <v>53.93</v>
      </c>
    </row>
    <row r="31" spans="1:12" x14ac:dyDescent="0.35">
      <c r="A31">
        <v>31</v>
      </c>
      <c r="B31">
        <v>249</v>
      </c>
      <c r="C31" t="s">
        <v>12</v>
      </c>
      <c r="D31" s="1" t="s">
        <v>25</v>
      </c>
      <c r="E31">
        <v>7</v>
      </c>
      <c r="F31">
        <v>3</v>
      </c>
      <c r="G31" s="2">
        <v>44111</v>
      </c>
      <c r="H31">
        <v>28.177268296810606</v>
      </c>
      <c r="I31">
        <v>14.2</v>
      </c>
      <c r="J31">
        <v>10.7</v>
      </c>
      <c r="K31" s="3">
        <f t="shared" si="0"/>
        <v>79.259228607170257</v>
      </c>
      <c r="L31">
        <v>52.43</v>
      </c>
    </row>
    <row r="32" spans="1:12" x14ac:dyDescent="0.35">
      <c r="A32">
        <v>32</v>
      </c>
      <c r="B32">
        <v>190</v>
      </c>
      <c r="C32" t="s">
        <v>13</v>
      </c>
      <c r="D32" s="1" t="s">
        <v>27</v>
      </c>
      <c r="E32">
        <v>8</v>
      </c>
      <c r="F32">
        <v>5</v>
      </c>
      <c r="G32" s="2">
        <v>44111</v>
      </c>
      <c r="H32">
        <v>16.413318604915798</v>
      </c>
      <c r="I32">
        <v>10.5</v>
      </c>
      <c r="J32">
        <v>7.2</v>
      </c>
      <c r="K32" s="3">
        <f t="shared" si="0"/>
        <v>60.47892945928654</v>
      </c>
      <c r="L32">
        <v>91.15</v>
      </c>
    </row>
    <row r="33" spans="1:12" x14ac:dyDescent="0.35">
      <c r="A33">
        <v>33</v>
      </c>
      <c r="B33">
        <v>243</v>
      </c>
      <c r="C33" t="s">
        <v>3</v>
      </c>
      <c r="D33" s="1" t="s">
        <v>5</v>
      </c>
      <c r="E33">
        <v>3</v>
      </c>
      <c r="F33">
        <v>2</v>
      </c>
      <c r="G33" s="2">
        <v>44109</v>
      </c>
      <c r="H33">
        <v>18.24984692668167</v>
      </c>
      <c r="I33">
        <v>13.5</v>
      </c>
      <c r="J33">
        <v>8.8000000000000007</v>
      </c>
      <c r="K33" s="3">
        <f t="shared" si="0"/>
        <v>77.349367676876994</v>
      </c>
      <c r="L33">
        <v>63.43</v>
      </c>
    </row>
    <row r="34" spans="1:12" x14ac:dyDescent="0.35">
      <c r="A34">
        <v>34</v>
      </c>
      <c r="B34">
        <v>154</v>
      </c>
      <c r="C34" t="s">
        <v>12</v>
      </c>
      <c r="D34" s="1" t="s">
        <v>15</v>
      </c>
      <c r="E34">
        <v>2</v>
      </c>
      <c r="F34">
        <v>1</v>
      </c>
      <c r="G34" s="2">
        <v>44110</v>
      </c>
      <c r="H34">
        <v>12.742569945513491</v>
      </c>
      <c r="I34">
        <v>16.2</v>
      </c>
      <c r="J34">
        <v>10.3</v>
      </c>
      <c r="K34" s="3">
        <f t="shared" si="0"/>
        <v>49.019763877526984</v>
      </c>
      <c r="L34">
        <v>59.04</v>
      </c>
    </row>
    <row r="35" spans="1:12" x14ac:dyDescent="0.35">
      <c r="A35">
        <v>35</v>
      </c>
      <c r="B35">
        <v>244</v>
      </c>
      <c r="C35" t="s">
        <v>13</v>
      </c>
      <c r="D35" s="1" t="s">
        <v>17</v>
      </c>
      <c r="E35">
        <v>4</v>
      </c>
      <c r="F35">
        <v>2</v>
      </c>
      <c r="G35" s="2">
        <v>44110</v>
      </c>
      <c r="H35">
        <v>14.267814813870499</v>
      </c>
      <c r="I35">
        <v>11.8</v>
      </c>
      <c r="J35">
        <v>11.4</v>
      </c>
      <c r="K35" s="3">
        <f t="shared" si="0"/>
        <v>77.667677831925872</v>
      </c>
      <c r="L35">
        <v>191.3</v>
      </c>
    </row>
    <row r="36" spans="1:12" x14ac:dyDescent="0.35">
      <c r="A36">
        <v>36</v>
      </c>
      <c r="B36">
        <v>146</v>
      </c>
      <c r="C36" t="s">
        <v>12</v>
      </c>
      <c r="D36" s="1" t="s">
        <v>36</v>
      </c>
      <c r="E36">
        <v>2</v>
      </c>
      <c r="F36">
        <v>1</v>
      </c>
      <c r="G36" s="2">
        <v>44112</v>
      </c>
      <c r="H36">
        <v>20.496115559868755</v>
      </c>
      <c r="I36">
        <v>10.3</v>
      </c>
      <c r="J36">
        <v>12</v>
      </c>
      <c r="K36" s="3">
        <f t="shared" si="0"/>
        <v>46.473282637135974</v>
      </c>
      <c r="L36">
        <v>247.62</v>
      </c>
    </row>
    <row r="37" spans="1:12" x14ac:dyDescent="0.35">
      <c r="A37">
        <v>37</v>
      </c>
      <c r="B37">
        <v>288</v>
      </c>
      <c r="C37" t="s">
        <v>11</v>
      </c>
      <c r="D37" s="1" t="s">
        <v>38</v>
      </c>
      <c r="E37">
        <v>5</v>
      </c>
      <c r="F37">
        <v>4</v>
      </c>
      <c r="G37" s="2">
        <v>44112</v>
      </c>
      <c r="H37">
        <v>26.760078503760035</v>
      </c>
      <c r="I37">
        <v>19</v>
      </c>
      <c r="J37">
        <v>15.3</v>
      </c>
      <c r="K37" s="3">
        <f t="shared" si="0"/>
        <v>91.673324654076438</v>
      </c>
      <c r="L37">
        <v>185.37</v>
      </c>
    </row>
    <row r="38" spans="1:12" x14ac:dyDescent="0.35">
      <c r="A38">
        <v>38</v>
      </c>
      <c r="B38">
        <v>244</v>
      </c>
      <c r="C38" t="s">
        <v>13</v>
      </c>
      <c r="D38" s="1" t="s">
        <v>39</v>
      </c>
      <c r="E38">
        <v>7</v>
      </c>
      <c r="F38">
        <v>3</v>
      </c>
      <c r="G38" s="2">
        <v>44112</v>
      </c>
      <c r="H38">
        <v>16.10646470876544</v>
      </c>
      <c r="I38">
        <v>19.399999999999999</v>
      </c>
      <c r="J38">
        <v>12</v>
      </c>
      <c r="K38" s="3">
        <f t="shared" si="0"/>
        <v>77.667677831925872</v>
      </c>
      <c r="L38">
        <v>170.54</v>
      </c>
    </row>
    <row r="39" spans="1:12" x14ac:dyDescent="0.35">
      <c r="A39">
        <v>39</v>
      </c>
      <c r="B39">
        <v>380</v>
      </c>
      <c r="C39" t="s">
        <v>40</v>
      </c>
      <c r="D39" s="1" t="s">
        <v>41</v>
      </c>
      <c r="E39">
        <v>5</v>
      </c>
      <c r="F39">
        <v>2</v>
      </c>
      <c r="G39" s="2">
        <v>44112</v>
      </c>
      <c r="H39">
        <v>19.926281922782429</v>
      </c>
      <c r="I39">
        <v>19.8</v>
      </c>
      <c r="J39">
        <v>12.7</v>
      </c>
      <c r="K39" s="3">
        <f t="shared" si="0"/>
        <v>120.95785891857308</v>
      </c>
      <c r="L39">
        <v>190.15</v>
      </c>
    </row>
    <row r="40" spans="1:12" x14ac:dyDescent="0.35">
      <c r="A40">
        <v>41</v>
      </c>
      <c r="B40">
        <v>582</v>
      </c>
      <c r="C40" t="s">
        <v>12</v>
      </c>
      <c r="D40" s="1" t="s">
        <v>37</v>
      </c>
      <c r="E40">
        <v>3</v>
      </c>
      <c r="F40">
        <v>1</v>
      </c>
      <c r="G40" s="2">
        <v>44112</v>
      </c>
      <c r="I40">
        <v>20.8</v>
      </c>
      <c r="J40">
        <v>18.5</v>
      </c>
      <c r="K40" s="3">
        <f t="shared" si="0"/>
        <v>185.25651023844614</v>
      </c>
      <c r="L40">
        <v>226.58</v>
      </c>
    </row>
    <row r="41" spans="1:12" x14ac:dyDescent="0.35">
      <c r="A41" t="s">
        <v>71</v>
      </c>
      <c r="D41" s="1"/>
      <c r="I41">
        <v>20</v>
      </c>
      <c r="J41">
        <v>18.100000000000001</v>
      </c>
      <c r="L41">
        <v>185.37</v>
      </c>
    </row>
    <row r="42" spans="1:12" x14ac:dyDescent="0.35">
      <c r="D42" s="1"/>
    </row>
  </sheetData>
  <sortState xmlns:xlrd2="http://schemas.microsoft.com/office/spreadsheetml/2017/richdata2" ref="A2:I42">
    <sortCondition ref="A2:A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4307-7235-465E-A588-EFEB18673827}">
  <dimension ref="A1:H41"/>
  <sheetViews>
    <sheetView topLeftCell="A13" workbookViewId="0">
      <selection activeCell="F40" sqref="F40"/>
    </sheetView>
  </sheetViews>
  <sheetFormatPr defaultRowHeight="14.5" x14ac:dyDescent="0.35"/>
  <cols>
    <col min="6" max="6" width="12.453125" bestFit="1" customWidth="1"/>
  </cols>
  <sheetData>
    <row r="1" spans="1:8" x14ac:dyDescent="0.35">
      <c r="A1">
        <v>1</v>
      </c>
      <c r="B1">
        <v>53</v>
      </c>
      <c r="C1">
        <v>20.100000000000001</v>
      </c>
      <c r="D1">
        <v>2.04</v>
      </c>
      <c r="E1">
        <f t="shared" ref="E1:E40" si="0">C1*TAN(PI()*B1/180)</f>
        <v>26.67360091457024</v>
      </c>
      <c r="F1">
        <f t="shared" ref="F1:F40" si="1">E1+D1</f>
        <v>28.71360091457024</v>
      </c>
    </row>
    <row r="2" spans="1:8" x14ac:dyDescent="0.35">
      <c r="A2">
        <v>2</v>
      </c>
      <c r="B2">
        <v>37</v>
      </c>
      <c r="C2">
        <v>20.7</v>
      </c>
      <c r="D2">
        <v>1.9</v>
      </c>
      <c r="E2">
        <f t="shared" si="0"/>
        <v>15.598568837127839</v>
      </c>
      <c r="F2">
        <f t="shared" si="1"/>
        <v>17.498568837127838</v>
      </c>
    </row>
    <row r="3" spans="1:8" x14ac:dyDescent="0.35">
      <c r="A3">
        <v>3</v>
      </c>
      <c r="B3">
        <v>36</v>
      </c>
      <c r="C3">
        <v>21.1</v>
      </c>
      <c r="D3">
        <v>1.55</v>
      </c>
      <c r="E3">
        <f t="shared" si="0"/>
        <v>15.330047340913117</v>
      </c>
      <c r="F3">
        <f t="shared" si="1"/>
        <v>16.880047340913116</v>
      </c>
      <c r="H3" t="s">
        <v>68</v>
      </c>
    </row>
    <row r="4" spans="1:8" x14ac:dyDescent="0.35">
      <c r="A4">
        <v>4</v>
      </c>
      <c r="B4">
        <v>41</v>
      </c>
      <c r="C4">
        <v>18.399999999999999</v>
      </c>
      <c r="D4">
        <v>1.87</v>
      </c>
      <c r="E4">
        <f t="shared" si="0"/>
        <v>15.994875975818566</v>
      </c>
      <c r="F4">
        <f t="shared" si="1"/>
        <v>17.864875975818567</v>
      </c>
    </row>
    <row r="5" spans="1:8" x14ac:dyDescent="0.35">
      <c r="A5">
        <v>5</v>
      </c>
      <c r="B5">
        <v>45</v>
      </c>
      <c r="C5">
        <v>24.8</v>
      </c>
      <c r="D5">
        <v>0.97</v>
      </c>
      <c r="E5">
        <f t="shared" si="0"/>
        <v>24.799999999999997</v>
      </c>
      <c r="F5">
        <f t="shared" si="1"/>
        <v>25.769999999999996</v>
      </c>
    </row>
    <row r="6" spans="1:8" x14ac:dyDescent="0.35">
      <c r="A6">
        <v>6</v>
      </c>
      <c r="B6">
        <v>38</v>
      </c>
      <c r="C6">
        <v>16.5</v>
      </c>
      <c r="D6">
        <v>1.22</v>
      </c>
      <c r="E6">
        <f t="shared" si="0"/>
        <v>12.891212837360836</v>
      </c>
      <c r="F6">
        <f t="shared" si="1"/>
        <v>14.111212837360837</v>
      </c>
    </row>
    <row r="7" spans="1:8" x14ac:dyDescent="0.35">
      <c r="A7">
        <v>7</v>
      </c>
      <c r="B7">
        <v>56</v>
      </c>
      <c r="C7">
        <v>13.4</v>
      </c>
      <c r="D7">
        <v>1.73</v>
      </c>
      <c r="E7">
        <f t="shared" si="0"/>
        <v>19.866316978070721</v>
      </c>
      <c r="F7">
        <f t="shared" si="1"/>
        <v>21.596316978070721</v>
      </c>
    </row>
    <row r="8" spans="1:8" x14ac:dyDescent="0.35">
      <c r="A8">
        <v>8</v>
      </c>
      <c r="B8">
        <v>32</v>
      </c>
      <c r="C8">
        <v>20</v>
      </c>
      <c r="D8">
        <v>1.5</v>
      </c>
      <c r="E8">
        <f t="shared" si="0"/>
        <v>12.497387038186549</v>
      </c>
      <c r="F8">
        <f t="shared" si="1"/>
        <v>13.997387038186549</v>
      </c>
    </row>
    <row r="9" spans="1:8" x14ac:dyDescent="0.35">
      <c r="A9">
        <v>9</v>
      </c>
      <c r="B9">
        <v>49</v>
      </c>
      <c r="C9">
        <v>16.600000000000001</v>
      </c>
      <c r="D9">
        <v>1.85</v>
      </c>
      <c r="E9">
        <f t="shared" si="0"/>
        <v>19.096115559868757</v>
      </c>
      <c r="F9">
        <f t="shared" si="1"/>
        <v>20.946115559868758</v>
      </c>
    </row>
    <row r="10" spans="1:8" x14ac:dyDescent="0.35">
      <c r="A10">
        <v>11</v>
      </c>
      <c r="B10">
        <v>58</v>
      </c>
      <c r="C10">
        <v>15.5</v>
      </c>
      <c r="D10">
        <v>1.66</v>
      </c>
      <c r="E10">
        <f t="shared" si="0"/>
        <v>24.805185200136286</v>
      </c>
      <c r="F10">
        <f t="shared" si="1"/>
        <v>26.465185200136286</v>
      </c>
    </row>
    <row r="11" spans="1:8" x14ac:dyDescent="0.35">
      <c r="A11">
        <v>12</v>
      </c>
      <c r="B11">
        <v>32</v>
      </c>
      <c r="C11">
        <v>26.3</v>
      </c>
      <c r="D11">
        <v>2.0499999999999998</v>
      </c>
      <c r="E11">
        <f t="shared" si="0"/>
        <v>16.434063955215311</v>
      </c>
      <c r="F11">
        <f t="shared" si="1"/>
        <v>18.484063955215312</v>
      </c>
    </row>
    <row r="12" spans="1:8" x14ac:dyDescent="0.35">
      <c r="A12">
        <v>13</v>
      </c>
      <c r="B12">
        <v>46</v>
      </c>
      <c r="C12">
        <v>19.899999999999999</v>
      </c>
      <c r="D12">
        <v>0</v>
      </c>
      <c r="E12">
        <f t="shared" si="0"/>
        <v>20.607053244432329</v>
      </c>
      <c r="F12">
        <f t="shared" si="1"/>
        <v>20.607053244432329</v>
      </c>
    </row>
    <row r="13" spans="1:8" x14ac:dyDescent="0.35">
      <c r="A13">
        <v>14</v>
      </c>
      <c r="B13">
        <v>46</v>
      </c>
      <c r="C13">
        <v>32.6</v>
      </c>
      <c r="D13">
        <v>0</v>
      </c>
      <c r="E13">
        <f t="shared" si="0"/>
        <v>33.758288229572564</v>
      </c>
      <c r="F13">
        <f t="shared" si="1"/>
        <v>33.758288229572564</v>
      </c>
    </row>
    <row r="14" spans="1:8" x14ac:dyDescent="0.35">
      <c r="A14">
        <v>15</v>
      </c>
      <c r="B14">
        <v>35</v>
      </c>
      <c r="C14">
        <v>26.5</v>
      </c>
      <c r="D14">
        <v>1.8</v>
      </c>
      <c r="E14">
        <f t="shared" si="0"/>
        <v>18.555499762557307</v>
      </c>
      <c r="F14">
        <f t="shared" si="1"/>
        <v>20.355499762557308</v>
      </c>
    </row>
    <row r="15" spans="1:8" x14ac:dyDescent="0.35">
      <c r="A15">
        <v>16</v>
      </c>
      <c r="B15">
        <v>51</v>
      </c>
      <c r="C15">
        <v>22.4</v>
      </c>
      <c r="D15">
        <v>1.24</v>
      </c>
      <c r="E15">
        <f t="shared" si="0"/>
        <v>27.661696306385142</v>
      </c>
      <c r="F15">
        <f t="shared" si="1"/>
        <v>28.901696306385141</v>
      </c>
    </row>
    <row r="16" spans="1:8" x14ac:dyDescent="0.35">
      <c r="A16">
        <v>17</v>
      </c>
      <c r="B16">
        <v>43</v>
      </c>
      <c r="C16">
        <v>26.3</v>
      </c>
      <c r="D16">
        <v>2.2999999999999998</v>
      </c>
      <c r="E16">
        <f t="shared" si="0"/>
        <v>24.525146765420498</v>
      </c>
      <c r="F16">
        <f t="shared" si="1"/>
        <v>26.825146765420499</v>
      </c>
    </row>
    <row r="17" spans="1:6" x14ac:dyDescent="0.35">
      <c r="A17">
        <v>18</v>
      </c>
      <c r="B17">
        <v>51</v>
      </c>
      <c r="C17">
        <v>20.100000000000001</v>
      </c>
      <c r="D17">
        <v>1.3</v>
      </c>
      <c r="E17">
        <f t="shared" si="0"/>
        <v>24.821432846354529</v>
      </c>
      <c r="F17">
        <f t="shared" si="1"/>
        <v>26.12143284635453</v>
      </c>
    </row>
    <row r="18" spans="1:6" x14ac:dyDescent="0.35">
      <c r="A18">
        <v>19</v>
      </c>
      <c r="B18">
        <v>48</v>
      </c>
      <c r="C18">
        <v>23.8</v>
      </c>
      <c r="D18">
        <v>1.19</v>
      </c>
      <c r="E18">
        <f t="shared" si="0"/>
        <v>26.432577852934788</v>
      </c>
      <c r="F18">
        <f t="shared" si="1"/>
        <v>27.622577852934789</v>
      </c>
    </row>
    <row r="19" spans="1:6" x14ac:dyDescent="0.35">
      <c r="A19">
        <v>20</v>
      </c>
      <c r="B19">
        <v>54</v>
      </c>
      <c r="C19">
        <v>18.100000000000001</v>
      </c>
      <c r="D19">
        <v>1.82</v>
      </c>
      <c r="E19">
        <f t="shared" si="0"/>
        <v>24.912512760528241</v>
      </c>
      <c r="F19">
        <f t="shared" si="1"/>
        <v>26.732512760528241</v>
      </c>
    </row>
    <row r="20" spans="1:6" x14ac:dyDescent="0.35">
      <c r="A20">
        <v>21</v>
      </c>
      <c r="B20">
        <v>42</v>
      </c>
      <c r="C20">
        <v>23.1</v>
      </c>
      <c r="D20">
        <v>0</v>
      </c>
      <c r="E20">
        <f t="shared" si="0"/>
        <v>20.799333423280103</v>
      </c>
      <c r="F20">
        <f t="shared" si="1"/>
        <v>20.799333423280103</v>
      </c>
    </row>
    <row r="21" spans="1:6" x14ac:dyDescent="0.35">
      <c r="A21">
        <v>22</v>
      </c>
      <c r="B21">
        <v>42</v>
      </c>
      <c r="C21">
        <v>21.2</v>
      </c>
      <c r="D21">
        <v>1.95</v>
      </c>
      <c r="E21">
        <f t="shared" si="0"/>
        <v>19.088565739114205</v>
      </c>
      <c r="F21">
        <f t="shared" si="1"/>
        <v>21.038565739114205</v>
      </c>
    </row>
    <row r="22" spans="1:6" x14ac:dyDescent="0.35">
      <c r="A22">
        <v>23</v>
      </c>
      <c r="B22">
        <v>38</v>
      </c>
      <c r="C22">
        <v>18.8</v>
      </c>
      <c r="D22">
        <v>1.84</v>
      </c>
      <c r="E22">
        <f t="shared" si="0"/>
        <v>14.688169778326285</v>
      </c>
      <c r="F22">
        <f t="shared" si="1"/>
        <v>16.528169778326287</v>
      </c>
    </row>
    <row r="23" spans="1:6" x14ac:dyDescent="0.35">
      <c r="A23">
        <v>24</v>
      </c>
      <c r="B23">
        <v>39</v>
      </c>
      <c r="C23">
        <v>19</v>
      </c>
      <c r="D23">
        <v>1.7</v>
      </c>
      <c r="E23">
        <f t="shared" si="0"/>
        <v>15.385896630705133</v>
      </c>
      <c r="F23">
        <f t="shared" si="1"/>
        <v>17.085896630705133</v>
      </c>
    </row>
    <row r="24" spans="1:6" x14ac:dyDescent="0.35">
      <c r="A24">
        <v>25</v>
      </c>
      <c r="B24">
        <v>35</v>
      </c>
      <c r="C24">
        <v>26</v>
      </c>
      <c r="D24">
        <v>1.9</v>
      </c>
      <c r="E24">
        <f t="shared" si="0"/>
        <v>18.205395993452452</v>
      </c>
      <c r="F24">
        <f t="shared" si="1"/>
        <v>20.105395993452451</v>
      </c>
    </row>
    <row r="25" spans="1:6" x14ac:dyDescent="0.35">
      <c r="A25">
        <v>26</v>
      </c>
      <c r="B25">
        <v>45</v>
      </c>
      <c r="C25">
        <v>17.600000000000001</v>
      </c>
      <c r="D25">
        <v>0</v>
      </c>
      <c r="E25">
        <f t="shared" si="0"/>
        <v>17.599999999999998</v>
      </c>
      <c r="F25">
        <f t="shared" si="1"/>
        <v>17.599999999999998</v>
      </c>
    </row>
    <row r="26" spans="1:6" x14ac:dyDescent="0.35">
      <c r="A26">
        <v>27</v>
      </c>
      <c r="B26">
        <v>51</v>
      </c>
      <c r="C26">
        <v>19</v>
      </c>
      <c r="D26">
        <v>0</v>
      </c>
      <c r="E26">
        <f t="shared" si="0"/>
        <v>23.463045974165968</v>
      </c>
      <c r="F26">
        <f t="shared" si="1"/>
        <v>23.463045974165968</v>
      </c>
    </row>
    <row r="27" spans="1:6" x14ac:dyDescent="0.35">
      <c r="A27">
        <v>28</v>
      </c>
      <c r="B27">
        <v>39</v>
      </c>
      <c r="C27">
        <v>20.7</v>
      </c>
      <c r="D27">
        <v>1.5</v>
      </c>
      <c r="E27">
        <f t="shared" si="0"/>
        <v>16.762529487136646</v>
      </c>
      <c r="F27">
        <f t="shared" si="1"/>
        <v>18.262529487136646</v>
      </c>
    </row>
    <row r="28" spans="1:6" x14ac:dyDescent="0.35">
      <c r="A28">
        <v>29</v>
      </c>
      <c r="B28">
        <v>36</v>
      </c>
      <c r="C28">
        <v>21.2</v>
      </c>
      <c r="D28">
        <v>2</v>
      </c>
      <c r="E28">
        <f t="shared" si="0"/>
        <v>15.402701593713651</v>
      </c>
      <c r="F28">
        <f t="shared" si="1"/>
        <v>17.402701593713651</v>
      </c>
    </row>
    <row r="29" spans="1:6" x14ac:dyDescent="0.35">
      <c r="A29">
        <v>30</v>
      </c>
      <c r="B29">
        <v>48</v>
      </c>
      <c r="C29">
        <v>22.4</v>
      </c>
      <c r="D29">
        <v>1.3</v>
      </c>
      <c r="E29">
        <f t="shared" si="0"/>
        <v>24.877720332173915</v>
      </c>
      <c r="F29">
        <f t="shared" si="1"/>
        <v>26.177720332173916</v>
      </c>
    </row>
    <row r="30" spans="1:6" x14ac:dyDescent="0.35">
      <c r="A30">
        <v>31</v>
      </c>
      <c r="B30">
        <v>51</v>
      </c>
      <c r="C30">
        <v>23</v>
      </c>
      <c r="D30">
        <v>1</v>
      </c>
      <c r="E30">
        <f t="shared" si="0"/>
        <v>28.402634600306175</v>
      </c>
      <c r="F30">
        <f t="shared" si="1"/>
        <v>29.402634600306175</v>
      </c>
    </row>
    <row r="31" spans="1:6" x14ac:dyDescent="0.35">
      <c r="A31">
        <v>32</v>
      </c>
      <c r="B31">
        <v>51</v>
      </c>
      <c r="C31">
        <v>21.7</v>
      </c>
      <c r="D31">
        <v>1.38</v>
      </c>
      <c r="E31">
        <f t="shared" si="0"/>
        <v>26.797268296810607</v>
      </c>
      <c r="F31">
        <f t="shared" si="1"/>
        <v>28.177268296810606</v>
      </c>
    </row>
    <row r="32" spans="1:6" x14ac:dyDescent="0.35">
      <c r="A32">
        <v>33</v>
      </c>
      <c r="B32">
        <v>36</v>
      </c>
      <c r="C32">
        <v>21.6</v>
      </c>
      <c r="D32">
        <v>0.72</v>
      </c>
      <c r="E32">
        <f t="shared" si="0"/>
        <v>15.693318604915797</v>
      </c>
      <c r="F32">
        <f t="shared" si="1"/>
        <v>16.413318604915798</v>
      </c>
    </row>
    <row r="33" spans="1:6" x14ac:dyDescent="0.35">
      <c r="A33">
        <v>34</v>
      </c>
      <c r="B33">
        <v>44</v>
      </c>
      <c r="C33">
        <v>17.2</v>
      </c>
      <c r="D33">
        <v>1.64</v>
      </c>
      <c r="E33">
        <f t="shared" si="0"/>
        <v>16.609846926681669</v>
      </c>
      <c r="F33">
        <f t="shared" si="1"/>
        <v>18.24984692668167</v>
      </c>
    </row>
    <row r="34" spans="1:6" x14ac:dyDescent="0.35">
      <c r="A34">
        <v>35</v>
      </c>
      <c r="B34">
        <v>32</v>
      </c>
      <c r="C34">
        <v>18.600000000000001</v>
      </c>
      <c r="D34">
        <v>1.1200000000000001</v>
      </c>
      <c r="E34">
        <f t="shared" si="0"/>
        <v>11.622569945513492</v>
      </c>
      <c r="F34">
        <f t="shared" si="1"/>
        <v>12.742569945513491</v>
      </c>
    </row>
    <row r="35" spans="1:6" x14ac:dyDescent="0.35">
      <c r="A35">
        <v>36</v>
      </c>
      <c r="B35">
        <v>31</v>
      </c>
      <c r="C35">
        <v>20.7</v>
      </c>
      <c r="D35">
        <v>1.83</v>
      </c>
      <c r="E35">
        <f t="shared" si="0"/>
        <v>12.437814813870499</v>
      </c>
      <c r="F35">
        <f t="shared" si="1"/>
        <v>14.267814813870499</v>
      </c>
    </row>
    <row r="36" spans="1:6" x14ac:dyDescent="0.35">
      <c r="A36">
        <v>37</v>
      </c>
      <c r="B36">
        <v>49</v>
      </c>
      <c r="C36">
        <v>16.600000000000001</v>
      </c>
      <c r="D36">
        <v>1.4</v>
      </c>
      <c r="E36">
        <f t="shared" si="0"/>
        <v>19.096115559868757</v>
      </c>
      <c r="F36">
        <f t="shared" si="1"/>
        <v>20.496115559868755</v>
      </c>
    </row>
    <row r="37" spans="1:6" x14ac:dyDescent="0.35">
      <c r="A37">
        <v>38</v>
      </c>
      <c r="B37">
        <v>53</v>
      </c>
      <c r="C37">
        <v>19.600000000000001</v>
      </c>
      <c r="D37">
        <v>0.75</v>
      </c>
      <c r="E37">
        <f t="shared" si="0"/>
        <v>26.010078503760035</v>
      </c>
      <c r="F37">
        <f t="shared" si="1"/>
        <v>26.760078503760035</v>
      </c>
    </row>
    <row r="38" spans="1:6" x14ac:dyDescent="0.35">
      <c r="A38">
        <v>39</v>
      </c>
      <c r="B38">
        <v>42</v>
      </c>
      <c r="C38">
        <v>16</v>
      </c>
      <c r="D38">
        <v>1.7</v>
      </c>
      <c r="E38">
        <f t="shared" si="0"/>
        <v>14.406464708765439</v>
      </c>
      <c r="F38">
        <f t="shared" si="1"/>
        <v>16.10646470876544</v>
      </c>
    </row>
    <row r="39" spans="1:6" x14ac:dyDescent="0.35">
      <c r="A39">
        <v>40</v>
      </c>
      <c r="B39">
        <v>40</v>
      </c>
      <c r="C39">
        <v>21.9</v>
      </c>
      <c r="D39">
        <v>1.55</v>
      </c>
      <c r="E39">
        <f t="shared" si="0"/>
        <v>18.376281922782429</v>
      </c>
      <c r="F39">
        <f t="shared" si="1"/>
        <v>19.926281922782429</v>
      </c>
    </row>
    <row r="40" spans="1:6" x14ac:dyDescent="0.35">
      <c r="A40">
        <v>41</v>
      </c>
      <c r="B40">
        <v>51</v>
      </c>
      <c r="C40">
        <v>21.2</v>
      </c>
      <c r="D40">
        <v>1.9</v>
      </c>
      <c r="E40">
        <f t="shared" si="0"/>
        <v>26.179819718543083</v>
      </c>
      <c r="F40">
        <f t="shared" si="1"/>
        <v>28.079819718543082</v>
      </c>
    </row>
    <row r="41" spans="1:6" x14ac:dyDescent="0.35">
      <c r="A41" t="s">
        <v>64</v>
      </c>
      <c r="B41" t="s">
        <v>65</v>
      </c>
      <c r="C41" t="s">
        <v>66</v>
      </c>
      <c r="D41" t="s">
        <v>67</v>
      </c>
    </row>
  </sheetData>
  <sortState xmlns:xlrd2="http://schemas.microsoft.com/office/spreadsheetml/2017/richdata2" ref="A1:F41">
    <sortCondition ref="A1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Height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McClory</dc:creator>
  <cp:lastModifiedBy>Ryan McClory</cp:lastModifiedBy>
  <dcterms:created xsi:type="dcterms:W3CDTF">2020-10-05T19:04:55Z</dcterms:created>
  <dcterms:modified xsi:type="dcterms:W3CDTF">2023-07-26T07:25:55Z</dcterms:modified>
</cp:coreProperties>
</file>