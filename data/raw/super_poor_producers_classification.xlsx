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M\Dropbox\My PC (LAPTOP-I67QJLDL)\Documents\Hub\Working folder\PhD\Data\study 1 data\Descriptive analysis Rwork\"/>
    </mc:Choice>
  </mc:AlternateContent>
  <xr:revisionPtr revIDLastSave="0" documentId="13_ncr:1_{CAA4073D-36EF-4456-93C6-16AE0CCBD7B1}" xr6:coauthVersionLast="47" xr6:coauthVersionMax="47" xr10:uidLastSave="{00000000-0000-0000-0000-000000000000}"/>
  <bookViews>
    <workbookView xWindow="-110" yWindow="-110" windowWidth="19420" windowHeight="11020" tabRatio="542" firstSheet="1" activeTab="3" xr2:uid="{BFAA092F-36F1-4BC0-922F-3D68306F9E40}"/>
  </bookViews>
  <sheets>
    <sheet name="Sheet1" sheetId="1" r:id="rId1"/>
    <sheet name="Sheet2" sheetId="2" r:id="rId2"/>
    <sheet name="Immature acorns" sheetId="3" r:id="rId3"/>
    <sheet name="Enlarged cup" sheetId="4" r:id="rId4"/>
    <sheet name="Flowers" sheetId="5" r:id="rId5"/>
    <sheet name="Galls" sheetId="6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6" l="1"/>
  <c r="K3" i="6"/>
  <c r="K2" i="6"/>
  <c r="K4" i="4"/>
  <c r="K3" i="4"/>
  <c r="K2" i="4"/>
  <c r="K4" i="3"/>
  <c r="K3" i="3"/>
  <c r="K2" i="3"/>
  <c r="C41" i="3"/>
  <c r="I41" i="3"/>
  <c r="G41" i="3"/>
  <c r="E41" i="3"/>
</calcChain>
</file>

<file path=xl/sharedStrings.xml><?xml version="1.0" encoding="utf-8"?>
<sst xmlns="http://schemas.openxmlformats.org/spreadsheetml/2006/main" count="58" uniqueCount="14">
  <si>
    <t>ET</t>
  </si>
  <si>
    <t>Tree</t>
  </si>
  <si>
    <t>Acorns</t>
  </si>
  <si>
    <t>Immature_Acorns</t>
  </si>
  <si>
    <t>Enlarged_cup</t>
  </si>
  <si>
    <t>Flower</t>
  </si>
  <si>
    <t>Gall</t>
  </si>
  <si>
    <t>Year</t>
  </si>
  <si>
    <t>Row Labels</t>
  </si>
  <si>
    <t>Grand Total</t>
  </si>
  <si>
    <t>Column Labels</t>
  </si>
  <si>
    <t>%</t>
  </si>
  <si>
    <t>na</t>
  </si>
  <si>
    <t>Sum of Gall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</si>
</sst>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10" fontId="0" fillId="0" borderId="0" xfId="0" applyNumberFormat="1"/>
    <xf numFmtId="0" fontId="1" fillId="2" borderId="0" xfId="0" applyFont="1" applyFill="1" applyAlignment="1">
      <alignment horizontal="left"/>
    </xf>
    <xf numFmtId="0" fontId="0" fillId="0" borderId="2" xfId="0" applyBorder="1" applyAlignment="1">
      <alignment horizontal="left"/>
    </xf>
    <xf numFmtId="0" fontId="1" fillId="2" borderId="0" xfId="0" applyFont="1" applyFill="1"/>
    <xf numFmtId="0" fontId="0" fillId="0" borderId="2" xfId="0" applyBorder="1"/>
    <xf numFmtId="10" fontId="1" fillId="2" borderId="0" xfId="0" applyNumberFormat="1" applyFont="1" applyFill="1"/>
    <xf numFmtId="10" fontId="0" fillId="2" borderId="0" xfId="0" applyNumberFormat="1" applyFill="1"/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McClory" refreshedDate="45254.465504861109" createdVersion="8" refreshedVersion="8" minRefreshableVersion="3" recordCount="116" xr:uid="{7D6D0F7F-2172-4B40-8A18-02C5C20F8F49}">
  <cacheSource type="worksheet">
    <worksheetSource ref="A1:G1048576" sheet="Sheet1"/>
  </cacheSource>
  <cacheFields count="7">
    <cacheField name="Tree" numFmtId="0">
      <sharedItems containsBlank="1" containsMixedTypes="1" containsNumber="1" containsInteger="1" minValue="1" maxValue="41" count="41">
        <n v="1"/>
        <n v="2"/>
        <n v="3"/>
        <n v="4"/>
        <n v="5"/>
        <n v="6"/>
        <n v="7"/>
        <n v="8"/>
        <n v="9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1"/>
        <s v="ET"/>
        <m/>
      </sharedItems>
    </cacheField>
    <cacheField name="Year" numFmtId="0">
      <sharedItems containsString="0" containsBlank="1" containsNumber="1" containsInteger="1" minValue="2021" maxValue="2023" count="4">
        <n v="2021"/>
        <n v="2022"/>
        <n v="2023"/>
        <m/>
      </sharedItems>
    </cacheField>
    <cacheField name="Acorns" numFmtId="0">
      <sharedItems containsString="0" containsBlank="1" containsNumber="1" minValue="0" maxValue="64"/>
    </cacheField>
    <cacheField name="Immature_Acorns" numFmtId="0">
      <sharedItems containsString="0" containsBlank="1" containsNumber="1" minValue="0" maxValue="40.833333333333336"/>
    </cacheField>
    <cacheField name="Enlarged_cup" numFmtId="0">
      <sharedItems containsString="0" containsBlank="1" containsNumber="1" minValue="0" maxValue="35"/>
    </cacheField>
    <cacheField name="Flower" numFmtId="0">
      <sharedItems containsString="0" containsBlank="1" containsNumber="1" minValue="0.25" maxValue="187.16666666666666"/>
    </cacheField>
    <cacheField name="Gall" numFmtId="0">
      <sharedItems containsString="0" containsBlank="1" containsNumber="1" minValue="0" maxValue="19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x v="0"/>
    <n v="0"/>
    <n v="0.5"/>
    <n v="0.75"/>
    <n v="64"/>
    <n v="7.75"/>
  </r>
  <r>
    <x v="1"/>
    <x v="0"/>
    <n v="0"/>
    <n v="0.25"/>
    <n v="0.5"/>
    <n v="29"/>
    <n v="3.75"/>
  </r>
  <r>
    <x v="2"/>
    <x v="0"/>
    <n v="0"/>
    <n v="0.25"/>
    <n v="1"/>
    <n v="28.5"/>
    <n v="1.75"/>
  </r>
  <r>
    <x v="3"/>
    <x v="0"/>
    <n v="0"/>
    <n v="0.5"/>
    <n v="0.25"/>
    <n v="31.5"/>
    <n v="2.5"/>
  </r>
  <r>
    <x v="4"/>
    <x v="0"/>
    <n v="0"/>
    <n v="0"/>
    <n v="1"/>
    <n v="35.333333333333336"/>
    <n v="0.33333333333333331"/>
  </r>
  <r>
    <x v="5"/>
    <x v="0"/>
    <n v="0"/>
    <n v="0"/>
    <n v="0"/>
    <n v="28"/>
    <n v="5.5"/>
  </r>
  <r>
    <x v="6"/>
    <x v="0"/>
    <n v="0"/>
    <n v="0"/>
    <n v="0"/>
    <n v="47"/>
    <n v="9.5"/>
  </r>
  <r>
    <x v="7"/>
    <x v="0"/>
    <n v="0"/>
    <n v="0.5"/>
    <n v="0.5"/>
    <n v="11"/>
    <n v="0"/>
  </r>
  <r>
    <x v="8"/>
    <x v="0"/>
    <n v="0"/>
    <n v="0"/>
    <n v="0"/>
    <n v="8.5"/>
    <n v="0.25"/>
  </r>
  <r>
    <x v="9"/>
    <x v="0"/>
    <n v="0"/>
    <n v="0.25"/>
    <n v="0"/>
    <n v="55.5"/>
    <n v="0.25"/>
  </r>
  <r>
    <x v="10"/>
    <x v="0"/>
    <n v="0"/>
    <n v="0"/>
    <n v="0.25"/>
    <n v="37.25"/>
    <n v="0.75"/>
  </r>
  <r>
    <x v="11"/>
    <x v="0"/>
    <n v="0"/>
    <n v="0"/>
    <n v="0.5"/>
    <n v="25.5"/>
    <n v="2.5"/>
  </r>
  <r>
    <x v="12"/>
    <x v="0"/>
    <n v="0"/>
    <n v="0"/>
    <n v="0"/>
    <n v="2"/>
    <n v="0"/>
  </r>
  <r>
    <x v="13"/>
    <x v="0"/>
    <n v="0"/>
    <n v="1.3333333333333333"/>
    <n v="0.58333333333333326"/>
    <n v="23.583333333333332"/>
    <n v="7.666666666666667"/>
  </r>
  <r>
    <x v="14"/>
    <x v="0"/>
    <n v="0"/>
    <n v="0"/>
    <n v="0.25"/>
    <n v="40.75"/>
    <n v="0"/>
  </r>
  <r>
    <x v="15"/>
    <x v="0"/>
    <n v="0"/>
    <n v="1.25"/>
    <n v="0"/>
    <n v="11"/>
    <n v="0.75"/>
  </r>
  <r>
    <x v="16"/>
    <x v="0"/>
    <n v="0"/>
    <n v="1"/>
    <n v="0"/>
    <n v="15.333333333333332"/>
    <n v="1.6666666666666665"/>
  </r>
  <r>
    <x v="17"/>
    <x v="0"/>
    <n v="0"/>
    <n v="0"/>
    <n v="0.5"/>
    <n v="10.25"/>
    <n v="0.5"/>
  </r>
  <r>
    <x v="18"/>
    <x v="0"/>
    <n v="0"/>
    <n v="1"/>
    <n v="0.5"/>
    <n v="53"/>
    <n v="7.5"/>
  </r>
  <r>
    <x v="19"/>
    <x v="0"/>
    <n v="0"/>
    <n v="0.5"/>
    <n v="1"/>
    <n v="55.5"/>
    <n v="1"/>
  </r>
  <r>
    <x v="20"/>
    <x v="0"/>
    <n v="0"/>
    <n v="3.25"/>
    <n v="2.75"/>
    <n v="122"/>
    <n v="17.5"/>
  </r>
  <r>
    <x v="21"/>
    <x v="0"/>
    <n v="0"/>
    <n v="0.75"/>
    <n v="0.25"/>
    <n v="28.75"/>
    <n v="0.25"/>
  </r>
  <r>
    <x v="22"/>
    <x v="0"/>
    <n v="0"/>
    <n v="0"/>
    <n v="1.3333333333333333"/>
    <n v="19.666666666666664"/>
    <n v="3.666666666666667"/>
  </r>
  <r>
    <x v="23"/>
    <x v="0"/>
    <n v="0"/>
    <n v="0.75"/>
    <n v="2.25"/>
    <n v="16"/>
    <n v="0.25"/>
  </r>
  <r>
    <x v="24"/>
    <x v="0"/>
    <n v="0"/>
    <n v="0.25"/>
    <n v="0"/>
    <n v="27.25"/>
    <n v="0.5"/>
  </r>
  <r>
    <x v="25"/>
    <x v="0"/>
    <n v="0"/>
    <n v="0.5"/>
    <n v="0"/>
    <n v="7.5"/>
    <n v="0"/>
  </r>
  <r>
    <x v="26"/>
    <x v="0"/>
    <n v="0"/>
    <n v="0"/>
    <n v="0"/>
    <n v="1.5"/>
    <n v="0.5"/>
  </r>
  <r>
    <x v="27"/>
    <x v="0"/>
    <n v="0"/>
    <n v="0.25"/>
    <n v="0"/>
    <n v="4"/>
    <n v="0"/>
  </r>
  <r>
    <x v="28"/>
    <x v="0"/>
    <n v="0"/>
    <n v="1.25"/>
    <n v="0.5"/>
    <n v="24.75"/>
    <n v="0"/>
  </r>
  <r>
    <x v="29"/>
    <x v="0"/>
    <n v="0"/>
    <n v="0.5"/>
    <n v="0"/>
    <n v="25.25"/>
    <n v="6"/>
  </r>
  <r>
    <x v="30"/>
    <x v="0"/>
    <n v="0"/>
    <n v="0"/>
    <n v="0.5"/>
    <n v="20"/>
    <n v="6.5"/>
  </r>
  <r>
    <x v="31"/>
    <x v="0"/>
    <n v="0"/>
    <n v="0.33333333333333331"/>
    <n v="0"/>
    <n v="9.6666666666666661"/>
    <n v="1.3333333333333333"/>
  </r>
  <r>
    <x v="32"/>
    <x v="0"/>
    <n v="0"/>
    <n v="0"/>
    <n v="0.5"/>
    <n v="24"/>
    <n v="1"/>
  </r>
  <r>
    <x v="33"/>
    <x v="0"/>
    <n v="0"/>
    <n v="1.0833333333333333"/>
    <n v="0.75"/>
    <n v="37.833333333333336"/>
    <n v="9.8333333333333339"/>
  </r>
  <r>
    <x v="34"/>
    <x v="0"/>
    <n v="0"/>
    <n v="0"/>
    <n v="1.25"/>
    <n v="26.75"/>
    <n v="0"/>
  </r>
  <r>
    <x v="35"/>
    <x v="0"/>
    <n v="0"/>
    <n v="0"/>
    <n v="1.5"/>
    <n v="30.25"/>
    <n v="0"/>
  </r>
  <r>
    <x v="36"/>
    <x v="0"/>
    <n v="0"/>
    <n v="0"/>
    <n v="0"/>
    <n v="67"/>
    <n v="2"/>
  </r>
  <r>
    <x v="37"/>
    <x v="0"/>
    <n v="0"/>
    <n v="0.25"/>
    <n v="0"/>
    <n v="7.25"/>
    <n v="0"/>
  </r>
  <r>
    <x v="38"/>
    <x v="0"/>
    <n v="0"/>
    <n v="1"/>
    <n v="0.75"/>
    <n v="32"/>
    <n v="8.5"/>
  </r>
  <r>
    <x v="39"/>
    <x v="0"/>
    <n v="0"/>
    <n v="0.25"/>
    <n v="1"/>
    <n v="55.75"/>
    <n v="4.25"/>
  </r>
  <r>
    <x v="0"/>
    <x v="1"/>
    <n v="12"/>
    <n v="15.666666666666666"/>
    <n v="22.833333333333336"/>
    <n v="187.16666666666666"/>
    <n v="5.333333333333333"/>
  </r>
  <r>
    <x v="1"/>
    <x v="1"/>
    <n v="1.25"/>
    <n v="1.25"/>
    <n v="0.25"/>
    <n v="30.5"/>
    <n v="0"/>
  </r>
  <r>
    <x v="2"/>
    <x v="1"/>
    <n v="1.5"/>
    <n v="4"/>
    <n v="2.75"/>
    <n v="45.75"/>
    <n v="0"/>
  </r>
  <r>
    <x v="3"/>
    <x v="1"/>
    <n v="2.5"/>
    <n v="12.333333333333332"/>
    <n v="12.833333333333334"/>
    <n v="80.666666666666671"/>
    <n v="0"/>
  </r>
  <r>
    <x v="4"/>
    <x v="1"/>
    <n v="0"/>
    <n v="2.3333333333333335"/>
    <n v="1.3333333333333333"/>
    <n v="38.666666666666671"/>
    <n v="0"/>
  </r>
  <r>
    <x v="5"/>
    <x v="1"/>
    <n v="0"/>
    <n v="0"/>
    <n v="0"/>
    <n v="22"/>
    <n v="1.5"/>
  </r>
  <r>
    <x v="6"/>
    <x v="1"/>
    <n v="0.25"/>
    <n v="0"/>
    <n v="0.75"/>
    <n v="133"/>
    <n v="1.5"/>
  </r>
  <r>
    <x v="7"/>
    <x v="1"/>
    <n v="0.5"/>
    <n v="0.5"/>
    <n v="1"/>
    <n v="7.75"/>
    <n v="0"/>
  </r>
  <r>
    <x v="8"/>
    <x v="1"/>
    <n v="0.25"/>
    <n v="1"/>
    <n v="0.75"/>
    <n v="11"/>
    <n v="0"/>
  </r>
  <r>
    <x v="9"/>
    <x v="1"/>
    <n v="6.5"/>
    <n v="4"/>
    <n v="5"/>
    <n v="76"/>
    <n v="0"/>
  </r>
  <r>
    <x v="10"/>
    <x v="1"/>
    <n v="13"/>
    <n v="5.75"/>
    <n v="6.5"/>
    <n v="77.25"/>
    <n v="5"/>
  </r>
  <r>
    <x v="11"/>
    <x v="1"/>
    <n v="10.666666666666666"/>
    <n v="6.333333333333333"/>
    <n v="3.333333333333333"/>
    <n v="44"/>
    <n v="0"/>
  </r>
  <r>
    <x v="12"/>
    <x v="1"/>
    <n v="46.25"/>
    <n v="39.75"/>
    <n v="31.5"/>
    <n v="163"/>
    <n v="2.75"/>
  </r>
  <r>
    <x v="13"/>
    <x v="1"/>
    <n v="10.75"/>
    <n v="18.25"/>
    <n v="6.25"/>
    <n v="103.25"/>
    <n v="0"/>
  </r>
  <r>
    <x v="14"/>
    <x v="1"/>
    <n v="0.75"/>
    <n v="4.75"/>
    <n v="2.25"/>
    <n v="112.5"/>
    <n v="0.25"/>
  </r>
  <r>
    <x v="15"/>
    <x v="1"/>
    <n v="1.75"/>
    <n v="3.75"/>
    <n v="2"/>
    <n v="28.25"/>
    <n v="0.25"/>
  </r>
  <r>
    <x v="16"/>
    <x v="1"/>
    <n v="0"/>
    <n v="0.33333333333333331"/>
    <n v="0"/>
    <n v="8.3333333333333339"/>
    <n v="0"/>
  </r>
  <r>
    <x v="17"/>
    <x v="1"/>
    <n v="9.75"/>
    <n v="13.5"/>
    <n v="26.25"/>
    <n v="106.75"/>
    <n v="0.75"/>
  </r>
  <r>
    <x v="18"/>
    <x v="1"/>
    <n v="1"/>
    <n v="2"/>
    <n v="7"/>
    <n v="32"/>
    <n v="0"/>
  </r>
  <r>
    <x v="19"/>
    <x v="1"/>
    <n v="0.66666666666666663"/>
    <n v="3.6666666666666665"/>
    <n v="5"/>
    <n v="26"/>
    <n v="1"/>
  </r>
  <r>
    <x v="20"/>
    <x v="1"/>
    <n v="9"/>
    <n v="8"/>
    <n v="8.25"/>
    <n v="60.25"/>
    <n v="1"/>
  </r>
  <r>
    <x v="21"/>
    <x v="1"/>
    <n v="4.5"/>
    <n v="3"/>
    <n v="4.25"/>
    <n v="128.75"/>
    <n v="0"/>
  </r>
  <r>
    <x v="22"/>
    <x v="1"/>
    <n v="4"/>
    <n v="3.333333333333333"/>
    <n v="25"/>
    <n v="40.666666666666664"/>
    <n v="0.66666666666666663"/>
  </r>
  <r>
    <x v="23"/>
    <x v="1"/>
    <n v="5.5"/>
    <n v="6.75"/>
    <n v="9.75"/>
    <n v="65"/>
    <n v="0"/>
  </r>
  <r>
    <x v="24"/>
    <x v="1"/>
    <n v="1"/>
    <n v="4.25"/>
    <n v="3.5"/>
    <n v="37.5"/>
    <n v="0"/>
  </r>
  <r>
    <x v="25"/>
    <x v="1"/>
    <n v="0"/>
    <n v="0.33333333333333331"/>
    <n v="0"/>
    <n v="3.666666666666667"/>
    <n v="0"/>
  </r>
  <r>
    <x v="26"/>
    <x v="1"/>
    <n v="4.25"/>
    <n v="13.25"/>
    <n v="11"/>
    <n v="97.25"/>
    <n v="4.25"/>
  </r>
  <r>
    <x v="27"/>
    <x v="1"/>
    <n v="2.75"/>
    <n v="4.5"/>
    <n v="8.75"/>
    <n v="39.5"/>
    <n v="0.25"/>
  </r>
  <r>
    <x v="28"/>
    <x v="1"/>
    <n v="19.75"/>
    <n v="8.75"/>
    <n v="7.75"/>
    <n v="87.25"/>
    <n v="0.25"/>
  </r>
  <r>
    <x v="29"/>
    <x v="1"/>
    <n v="7.25"/>
    <n v="10.75"/>
    <n v="3"/>
    <n v="107.75"/>
    <n v="2.75"/>
  </r>
  <r>
    <x v="30"/>
    <x v="1"/>
    <n v="1.5"/>
    <n v="0"/>
    <n v="2.5"/>
    <n v="34"/>
    <n v="0"/>
  </r>
  <r>
    <x v="31"/>
    <x v="1"/>
    <n v="10.75"/>
    <n v="27"/>
    <n v="14.25"/>
    <n v="57.75"/>
    <n v="0.25"/>
  </r>
  <r>
    <x v="32"/>
    <x v="1"/>
    <n v="3"/>
    <n v="7.3333333333333339"/>
    <n v="8.3333333333333339"/>
    <n v="53.666666666666671"/>
    <n v="0.33333333333333331"/>
  </r>
  <r>
    <x v="33"/>
    <x v="1"/>
    <n v="1.3333333333333333"/>
    <n v="2.3333333333333335"/>
    <n v="7"/>
    <n v="41.333333333333336"/>
    <n v="1.9999999999999998"/>
  </r>
  <r>
    <x v="34"/>
    <x v="1"/>
    <n v="2"/>
    <n v="3"/>
    <n v="5"/>
    <n v="126.5"/>
    <n v="0"/>
  </r>
  <r>
    <x v="35"/>
    <x v="1"/>
    <n v="0.66666666666666663"/>
    <n v="0"/>
    <n v="1.6666666666666667"/>
    <n v="40.416666666666664"/>
    <n v="0"/>
  </r>
  <r>
    <x v="36"/>
    <x v="1"/>
    <n v="0.66666666666666663"/>
    <n v="8.3333333333333339"/>
    <n v="12"/>
    <n v="73.666666666666657"/>
    <n v="0"/>
  </r>
  <r>
    <x v="37"/>
    <x v="1"/>
    <n v="31.333333333333332"/>
    <n v="40.833333333333336"/>
    <n v="8.6666666666666661"/>
    <n v="85.166666666666657"/>
    <n v="0"/>
  </r>
  <r>
    <x v="38"/>
    <x v="1"/>
    <n v="5"/>
    <n v="6"/>
    <n v="3.333333333333333"/>
    <n v="66.333333333333343"/>
    <n v="0.33333333333333331"/>
  </r>
  <r>
    <x v="39"/>
    <x v="1"/>
    <n v="0.5"/>
    <n v="4"/>
    <n v="1.25"/>
    <n v="35.5"/>
    <n v="0.75"/>
  </r>
  <r>
    <x v="0"/>
    <x v="2"/>
    <n v="1"/>
    <n v="9"/>
    <n v="29"/>
    <n v="33"/>
    <n v="13"/>
  </r>
  <r>
    <x v="1"/>
    <x v="2"/>
    <n v="1"/>
    <n v="2.5"/>
    <n v="6.5"/>
    <n v="24.5"/>
    <n v="10"/>
  </r>
  <r>
    <x v="3"/>
    <x v="2"/>
    <n v="1"/>
    <n v="16"/>
    <n v="4"/>
    <n v="59"/>
    <n v="7"/>
  </r>
  <r>
    <x v="4"/>
    <x v="2"/>
    <n v="3.3333333333333335"/>
    <n v="3"/>
    <n v="2"/>
    <n v="3.6666666666666665"/>
    <n v="0.66666666666666663"/>
  </r>
  <r>
    <x v="6"/>
    <x v="2"/>
    <n v="0"/>
    <n v="0"/>
    <n v="0"/>
    <n v="55.5"/>
    <n v="7"/>
  </r>
  <r>
    <x v="7"/>
    <x v="2"/>
    <n v="0"/>
    <n v="6.5"/>
    <n v="7.5"/>
    <n v="24"/>
    <n v="1"/>
  </r>
  <r>
    <x v="8"/>
    <x v="2"/>
    <n v="0"/>
    <n v="0"/>
    <n v="0"/>
    <n v="0.5"/>
    <n v="0"/>
  </r>
  <r>
    <x v="9"/>
    <x v="2"/>
    <n v="0.5"/>
    <n v="0.5"/>
    <n v="4.5"/>
    <n v="24.5"/>
    <n v="0"/>
  </r>
  <r>
    <x v="10"/>
    <x v="2"/>
    <n v="0"/>
    <n v="0.5"/>
    <n v="13.5"/>
    <n v="1"/>
    <n v="12.5"/>
  </r>
  <r>
    <x v="11"/>
    <x v="2"/>
    <n v="64"/>
    <n v="32"/>
    <n v="9"/>
    <n v="50"/>
    <n v="7"/>
  </r>
  <r>
    <x v="12"/>
    <x v="2"/>
    <n v="0"/>
    <n v="2"/>
    <n v="8.5"/>
    <n v="8"/>
    <n v="7"/>
  </r>
  <r>
    <x v="13"/>
    <x v="2"/>
    <n v="1"/>
    <n v="23.5"/>
    <n v="17.5"/>
    <n v="31"/>
    <n v="13"/>
  </r>
  <r>
    <x v="14"/>
    <x v="2"/>
    <n v="0"/>
    <n v="0"/>
    <n v="1.5"/>
    <n v="6.5"/>
    <n v="1.25"/>
  </r>
  <r>
    <x v="15"/>
    <x v="2"/>
    <n v="1.25"/>
    <n v="1"/>
    <n v="0.25"/>
    <n v="0.25"/>
    <n v="3.25"/>
  </r>
  <r>
    <x v="16"/>
    <x v="2"/>
    <n v="0.5"/>
    <n v="1"/>
    <n v="1.5"/>
    <n v="3"/>
    <n v="2"/>
  </r>
  <r>
    <x v="17"/>
    <x v="2"/>
    <n v="1"/>
    <n v="3"/>
    <n v="11"/>
    <n v="14"/>
    <n v="0"/>
  </r>
  <r>
    <x v="18"/>
    <x v="2"/>
    <n v="2"/>
    <n v="1"/>
    <n v="17"/>
    <n v="7"/>
    <n v="3"/>
  </r>
  <r>
    <x v="19"/>
    <x v="2"/>
    <n v="2"/>
    <n v="12"/>
    <n v="32"/>
    <n v="33"/>
    <n v="4"/>
  </r>
  <r>
    <x v="20"/>
    <x v="2"/>
    <n v="9.3333333333333339"/>
    <n v="25.666666666666668"/>
    <n v="15.666666666666666"/>
    <n v="72.333333333333329"/>
    <n v="7.666666666666667"/>
  </r>
  <r>
    <x v="21"/>
    <x v="2"/>
    <n v="7"/>
    <n v="18"/>
    <n v="22.333333333333332"/>
    <n v="41.666666666666664"/>
    <n v="2"/>
  </r>
  <r>
    <x v="22"/>
    <x v="2"/>
    <n v="0"/>
    <n v="0"/>
    <n v="2"/>
    <n v="5"/>
    <n v="0"/>
  </r>
  <r>
    <x v="23"/>
    <x v="2"/>
    <n v="3"/>
    <n v="8"/>
    <n v="8.6666666666666661"/>
    <n v="10.333333333333334"/>
    <n v="0.33333333333333331"/>
  </r>
  <r>
    <x v="24"/>
    <x v="2"/>
    <n v="1.25"/>
    <n v="6.25"/>
    <n v="13.5"/>
    <n v="16.75"/>
    <n v="1.25"/>
  </r>
  <r>
    <x v="25"/>
    <x v="2"/>
    <n v="0.33333333333333331"/>
    <n v="0.66666666666666663"/>
    <n v="2.3333333333333335"/>
    <n v="3"/>
    <n v="0.33333333333333331"/>
  </r>
  <r>
    <x v="26"/>
    <x v="2"/>
    <n v="0.5"/>
    <n v="6.5"/>
    <n v="1"/>
    <n v="11"/>
    <n v="19.5"/>
  </r>
  <r>
    <x v="27"/>
    <x v="2"/>
    <n v="0.5"/>
    <n v="0.5"/>
    <n v="1"/>
    <n v="1"/>
    <n v="0.25"/>
  </r>
  <r>
    <x v="28"/>
    <x v="2"/>
    <n v="0"/>
    <n v="0"/>
    <n v="5"/>
    <n v="14"/>
    <n v="0"/>
  </r>
  <r>
    <x v="29"/>
    <x v="2"/>
    <n v="0.5"/>
    <n v="3.5"/>
    <n v="2"/>
    <n v="22.5"/>
    <n v="18"/>
  </r>
  <r>
    <x v="31"/>
    <x v="2"/>
    <n v="0.75"/>
    <n v="11.25"/>
    <n v="9.5"/>
    <n v="13.5"/>
    <n v="3.25"/>
  </r>
  <r>
    <x v="33"/>
    <x v="2"/>
    <n v="0.5"/>
    <n v="0"/>
    <n v="1"/>
    <n v="3"/>
    <n v="1"/>
  </r>
  <r>
    <x v="35"/>
    <x v="2"/>
    <n v="1"/>
    <n v="9"/>
    <n v="12"/>
    <n v="41"/>
    <n v="0"/>
  </r>
  <r>
    <x v="36"/>
    <x v="2"/>
    <n v="0"/>
    <n v="0.5"/>
    <n v="4"/>
    <n v="7.5"/>
    <n v="0"/>
  </r>
  <r>
    <x v="37"/>
    <x v="2"/>
    <n v="2"/>
    <n v="4.5"/>
    <n v="4.5"/>
    <n v="19"/>
    <n v="0"/>
  </r>
  <r>
    <x v="38"/>
    <x v="2"/>
    <n v="3"/>
    <n v="10"/>
    <n v="35"/>
    <n v="11"/>
    <n v="2"/>
  </r>
  <r>
    <x v="39"/>
    <x v="2"/>
    <n v="2"/>
    <n v="16"/>
    <n v="8"/>
    <n v="52"/>
    <n v="6"/>
  </r>
  <r>
    <x v="40"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24688-8607-4D4A-841B-B87B5F4D559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4" firstHeaderRow="1" firstDataRow="2" firstDataCol="1"/>
  <pivotFields count="7"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h="1" x="39"/>
        <item h="1" x="40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Gall" fld="6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87043-197B-47F6-9031-9AAAD2E5B8C7}">
  <dimension ref="A1:G116"/>
  <sheetViews>
    <sheetView workbookViewId="0">
      <pane ySplit="1" topLeftCell="A2" activePane="bottomLeft" state="frozen"/>
      <selection pane="bottomLeft" sqref="A1:XFD1048576"/>
    </sheetView>
  </sheetViews>
  <sheetFormatPr defaultRowHeight="14.5" x14ac:dyDescent="0.35"/>
  <cols>
    <col min="4" max="4" width="15.81640625" customWidth="1"/>
    <col min="5" max="5" width="12.81640625" customWidth="1"/>
  </cols>
  <sheetData>
    <row r="1" spans="1:7" x14ac:dyDescent="0.35">
      <c r="A1" t="s">
        <v>1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2021</v>
      </c>
      <c r="C2">
        <v>0</v>
      </c>
      <c r="D2">
        <v>0.5</v>
      </c>
      <c r="E2">
        <v>0.75</v>
      </c>
      <c r="F2">
        <v>64</v>
      </c>
      <c r="G2">
        <v>7.75</v>
      </c>
    </row>
    <row r="3" spans="1:7" x14ac:dyDescent="0.35">
      <c r="A3">
        <v>2</v>
      </c>
      <c r="B3">
        <v>2021</v>
      </c>
      <c r="C3">
        <v>0</v>
      </c>
      <c r="D3">
        <v>0.25</v>
      </c>
      <c r="E3">
        <v>0.5</v>
      </c>
      <c r="F3">
        <v>29</v>
      </c>
      <c r="G3">
        <v>3.75</v>
      </c>
    </row>
    <row r="4" spans="1:7" x14ac:dyDescent="0.35">
      <c r="A4">
        <v>3</v>
      </c>
      <c r="B4">
        <v>2021</v>
      </c>
      <c r="C4">
        <v>0</v>
      </c>
      <c r="D4">
        <v>0.25</v>
      </c>
      <c r="E4">
        <v>1</v>
      </c>
      <c r="F4">
        <v>28.5</v>
      </c>
      <c r="G4">
        <v>1.75</v>
      </c>
    </row>
    <row r="5" spans="1:7" x14ac:dyDescent="0.35">
      <c r="A5">
        <v>4</v>
      </c>
      <c r="B5">
        <v>2021</v>
      </c>
      <c r="C5">
        <v>0</v>
      </c>
      <c r="D5">
        <v>0.5</v>
      </c>
      <c r="E5">
        <v>0.25</v>
      </c>
      <c r="F5">
        <v>31.5</v>
      </c>
      <c r="G5">
        <v>2.5</v>
      </c>
    </row>
    <row r="6" spans="1:7" x14ac:dyDescent="0.35">
      <c r="A6">
        <v>5</v>
      </c>
      <c r="B6">
        <v>2021</v>
      </c>
      <c r="C6">
        <v>0</v>
      </c>
      <c r="D6">
        <v>0</v>
      </c>
      <c r="E6">
        <v>1</v>
      </c>
      <c r="F6">
        <v>35.333333333333336</v>
      </c>
      <c r="G6">
        <v>0.33333333333333331</v>
      </c>
    </row>
    <row r="7" spans="1:7" x14ac:dyDescent="0.35">
      <c r="A7">
        <v>6</v>
      </c>
      <c r="B7">
        <v>2021</v>
      </c>
      <c r="C7">
        <v>0</v>
      </c>
      <c r="D7">
        <v>0</v>
      </c>
      <c r="E7">
        <v>0</v>
      </c>
      <c r="F7">
        <v>28</v>
      </c>
      <c r="G7">
        <v>5.5</v>
      </c>
    </row>
    <row r="8" spans="1:7" x14ac:dyDescent="0.35">
      <c r="A8">
        <v>7</v>
      </c>
      <c r="B8">
        <v>2021</v>
      </c>
      <c r="C8">
        <v>0</v>
      </c>
      <c r="D8">
        <v>0</v>
      </c>
      <c r="E8">
        <v>0</v>
      </c>
      <c r="F8">
        <v>47</v>
      </c>
      <c r="G8">
        <v>9.5</v>
      </c>
    </row>
    <row r="9" spans="1:7" x14ac:dyDescent="0.35">
      <c r="A9">
        <v>8</v>
      </c>
      <c r="B9">
        <v>2021</v>
      </c>
      <c r="C9">
        <v>0</v>
      </c>
      <c r="D9">
        <v>0.5</v>
      </c>
      <c r="E9">
        <v>0.5</v>
      </c>
      <c r="F9">
        <v>11</v>
      </c>
      <c r="G9">
        <v>0</v>
      </c>
    </row>
    <row r="10" spans="1:7" x14ac:dyDescent="0.35">
      <c r="A10">
        <v>9</v>
      </c>
      <c r="B10">
        <v>2021</v>
      </c>
      <c r="C10">
        <v>0</v>
      </c>
      <c r="D10">
        <v>0</v>
      </c>
      <c r="E10">
        <v>0</v>
      </c>
      <c r="F10">
        <v>8.5</v>
      </c>
      <c r="G10">
        <v>0.25</v>
      </c>
    </row>
    <row r="11" spans="1:7" x14ac:dyDescent="0.35">
      <c r="A11">
        <v>11</v>
      </c>
      <c r="B11">
        <v>2021</v>
      </c>
      <c r="C11">
        <v>0</v>
      </c>
      <c r="D11">
        <v>0.25</v>
      </c>
      <c r="E11">
        <v>0</v>
      </c>
      <c r="F11">
        <v>55.5</v>
      </c>
      <c r="G11">
        <v>0.25</v>
      </c>
    </row>
    <row r="12" spans="1:7" x14ac:dyDescent="0.35">
      <c r="A12">
        <v>12</v>
      </c>
      <c r="B12">
        <v>2021</v>
      </c>
      <c r="C12">
        <v>0</v>
      </c>
      <c r="D12">
        <v>0</v>
      </c>
      <c r="E12">
        <v>0.25</v>
      </c>
      <c r="F12">
        <v>37.25</v>
      </c>
      <c r="G12">
        <v>0.75</v>
      </c>
    </row>
    <row r="13" spans="1:7" x14ac:dyDescent="0.35">
      <c r="A13">
        <v>13</v>
      </c>
      <c r="B13">
        <v>2021</v>
      </c>
      <c r="C13">
        <v>0</v>
      </c>
      <c r="D13">
        <v>0</v>
      </c>
      <c r="E13">
        <v>0.5</v>
      </c>
      <c r="F13">
        <v>25.5</v>
      </c>
      <c r="G13">
        <v>2.5</v>
      </c>
    </row>
    <row r="14" spans="1:7" x14ac:dyDescent="0.35">
      <c r="A14">
        <v>14</v>
      </c>
      <c r="B14">
        <v>2021</v>
      </c>
      <c r="C14">
        <v>0</v>
      </c>
      <c r="D14">
        <v>0</v>
      </c>
      <c r="E14">
        <v>0</v>
      </c>
      <c r="F14">
        <v>2</v>
      </c>
      <c r="G14">
        <v>0</v>
      </c>
    </row>
    <row r="15" spans="1:7" x14ac:dyDescent="0.35">
      <c r="A15">
        <v>15</v>
      </c>
      <c r="B15">
        <v>2021</v>
      </c>
      <c r="C15">
        <v>0</v>
      </c>
      <c r="D15">
        <v>1.3333333333333333</v>
      </c>
      <c r="E15">
        <v>0.58333333333333326</v>
      </c>
      <c r="F15">
        <v>23.583333333333332</v>
      </c>
      <c r="G15">
        <v>7.666666666666667</v>
      </c>
    </row>
    <row r="16" spans="1:7" x14ac:dyDescent="0.35">
      <c r="A16">
        <v>16</v>
      </c>
      <c r="B16">
        <v>2021</v>
      </c>
      <c r="C16">
        <v>0</v>
      </c>
      <c r="D16">
        <v>0</v>
      </c>
      <c r="E16">
        <v>0.25</v>
      </c>
      <c r="F16">
        <v>40.75</v>
      </c>
      <c r="G16">
        <v>0</v>
      </c>
    </row>
    <row r="17" spans="1:7" x14ac:dyDescent="0.35">
      <c r="A17">
        <v>17</v>
      </c>
      <c r="B17">
        <v>2021</v>
      </c>
      <c r="C17">
        <v>0</v>
      </c>
      <c r="D17">
        <v>1.25</v>
      </c>
      <c r="E17">
        <v>0</v>
      </c>
      <c r="F17">
        <v>11</v>
      </c>
      <c r="G17">
        <v>0.75</v>
      </c>
    </row>
    <row r="18" spans="1:7" x14ac:dyDescent="0.35">
      <c r="A18">
        <v>18</v>
      </c>
      <c r="B18">
        <v>2021</v>
      </c>
      <c r="C18">
        <v>0</v>
      </c>
      <c r="D18">
        <v>1</v>
      </c>
      <c r="E18">
        <v>0</v>
      </c>
      <c r="F18">
        <v>15.333333333333332</v>
      </c>
      <c r="G18">
        <v>1.6666666666666665</v>
      </c>
    </row>
    <row r="19" spans="1:7" x14ac:dyDescent="0.35">
      <c r="A19">
        <v>19</v>
      </c>
      <c r="B19">
        <v>2021</v>
      </c>
      <c r="C19">
        <v>0</v>
      </c>
      <c r="D19">
        <v>0</v>
      </c>
      <c r="E19">
        <v>0.5</v>
      </c>
      <c r="F19">
        <v>10.25</v>
      </c>
      <c r="G19">
        <v>0.5</v>
      </c>
    </row>
    <row r="20" spans="1:7" x14ac:dyDescent="0.35">
      <c r="A20">
        <v>20</v>
      </c>
      <c r="B20">
        <v>2021</v>
      </c>
      <c r="C20">
        <v>0</v>
      </c>
      <c r="D20">
        <v>1</v>
      </c>
      <c r="E20">
        <v>0.5</v>
      </c>
      <c r="F20">
        <v>53</v>
      </c>
      <c r="G20">
        <v>7.5</v>
      </c>
    </row>
    <row r="21" spans="1:7" x14ac:dyDescent="0.35">
      <c r="A21">
        <v>21</v>
      </c>
      <c r="B21">
        <v>2021</v>
      </c>
      <c r="C21">
        <v>0</v>
      </c>
      <c r="D21">
        <v>0.5</v>
      </c>
      <c r="E21">
        <v>1</v>
      </c>
      <c r="F21">
        <v>55.5</v>
      </c>
      <c r="G21">
        <v>1</v>
      </c>
    </row>
    <row r="22" spans="1:7" x14ac:dyDescent="0.35">
      <c r="A22">
        <v>22</v>
      </c>
      <c r="B22">
        <v>2021</v>
      </c>
      <c r="C22">
        <v>0</v>
      </c>
      <c r="D22">
        <v>3.25</v>
      </c>
      <c r="E22">
        <v>2.75</v>
      </c>
      <c r="F22">
        <v>122</v>
      </c>
      <c r="G22">
        <v>17.5</v>
      </c>
    </row>
    <row r="23" spans="1:7" x14ac:dyDescent="0.35">
      <c r="A23">
        <v>23</v>
      </c>
      <c r="B23">
        <v>2021</v>
      </c>
      <c r="C23">
        <v>0</v>
      </c>
      <c r="D23">
        <v>0.75</v>
      </c>
      <c r="E23">
        <v>0.25</v>
      </c>
      <c r="F23">
        <v>28.75</v>
      </c>
      <c r="G23">
        <v>0.25</v>
      </c>
    </row>
    <row r="24" spans="1:7" x14ac:dyDescent="0.35">
      <c r="A24">
        <v>24</v>
      </c>
      <c r="B24">
        <v>2021</v>
      </c>
      <c r="C24">
        <v>0</v>
      </c>
      <c r="D24">
        <v>0</v>
      </c>
      <c r="E24">
        <v>1.3333333333333333</v>
      </c>
      <c r="F24">
        <v>19.666666666666664</v>
      </c>
      <c r="G24">
        <v>3.666666666666667</v>
      </c>
    </row>
    <row r="25" spans="1:7" x14ac:dyDescent="0.35">
      <c r="A25">
        <v>25</v>
      </c>
      <c r="B25">
        <v>2021</v>
      </c>
      <c r="C25">
        <v>0</v>
      </c>
      <c r="D25">
        <v>0.75</v>
      </c>
      <c r="E25">
        <v>2.25</v>
      </c>
      <c r="F25">
        <v>16</v>
      </c>
      <c r="G25">
        <v>0.25</v>
      </c>
    </row>
    <row r="26" spans="1:7" x14ac:dyDescent="0.35">
      <c r="A26">
        <v>26</v>
      </c>
      <c r="B26">
        <v>2021</v>
      </c>
      <c r="C26">
        <v>0</v>
      </c>
      <c r="D26">
        <v>0.25</v>
      </c>
      <c r="E26">
        <v>0</v>
      </c>
      <c r="F26">
        <v>27.25</v>
      </c>
      <c r="G26">
        <v>0.5</v>
      </c>
    </row>
    <row r="27" spans="1:7" x14ac:dyDescent="0.35">
      <c r="A27">
        <v>27</v>
      </c>
      <c r="B27">
        <v>2021</v>
      </c>
      <c r="C27">
        <v>0</v>
      </c>
      <c r="D27">
        <v>0.5</v>
      </c>
      <c r="E27">
        <v>0</v>
      </c>
      <c r="F27">
        <v>7.5</v>
      </c>
      <c r="G27">
        <v>0</v>
      </c>
    </row>
    <row r="28" spans="1:7" x14ac:dyDescent="0.35">
      <c r="A28">
        <v>28</v>
      </c>
      <c r="B28">
        <v>2021</v>
      </c>
      <c r="C28">
        <v>0</v>
      </c>
      <c r="D28">
        <v>0</v>
      </c>
      <c r="E28">
        <v>0</v>
      </c>
      <c r="F28">
        <v>1.5</v>
      </c>
      <c r="G28">
        <v>0.5</v>
      </c>
    </row>
    <row r="29" spans="1:7" x14ac:dyDescent="0.35">
      <c r="A29">
        <v>29</v>
      </c>
      <c r="B29">
        <v>2021</v>
      </c>
      <c r="C29">
        <v>0</v>
      </c>
      <c r="D29">
        <v>0.25</v>
      </c>
      <c r="E29">
        <v>0</v>
      </c>
      <c r="F29">
        <v>4</v>
      </c>
      <c r="G29">
        <v>0</v>
      </c>
    </row>
    <row r="30" spans="1:7" x14ac:dyDescent="0.35">
      <c r="A30">
        <v>30</v>
      </c>
      <c r="B30">
        <v>2021</v>
      </c>
      <c r="C30">
        <v>0</v>
      </c>
      <c r="D30">
        <v>1.25</v>
      </c>
      <c r="E30">
        <v>0.5</v>
      </c>
      <c r="F30">
        <v>24.75</v>
      </c>
      <c r="G30">
        <v>0</v>
      </c>
    </row>
    <row r="31" spans="1:7" x14ac:dyDescent="0.35">
      <c r="A31">
        <v>31</v>
      </c>
      <c r="B31">
        <v>2021</v>
      </c>
      <c r="C31">
        <v>0</v>
      </c>
      <c r="D31">
        <v>0.5</v>
      </c>
      <c r="E31">
        <v>0</v>
      </c>
      <c r="F31">
        <v>25.25</v>
      </c>
      <c r="G31">
        <v>6</v>
      </c>
    </row>
    <row r="32" spans="1:7" x14ac:dyDescent="0.35">
      <c r="A32">
        <v>32</v>
      </c>
      <c r="B32">
        <v>2021</v>
      </c>
      <c r="C32">
        <v>0</v>
      </c>
      <c r="D32">
        <v>0</v>
      </c>
      <c r="E32">
        <v>0.5</v>
      </c>
      <c r="F32">
        <v>20</v>
      </c>
      <c r="G32">
        <v>6.5</v>
      </c>
    </row>
    <row r="33" spans="1:7" x14ac:dyDescent="0.35">
      <c r="A33">
        <v>33</v>
      </c>
      <c r="B33">
        <v>2021</v>
      </c>
      <c r="C33">
        <v>0</v>
      </c>
      <c r="D33">
        <v>0.33333333333333331</v>
      </c>
      <c r="E33">
        <v>0</v>
      </c>
      <c r="F33">
        <v>9.6666666666666661</v>
      </c>
      <c r="G33">
        <v>1.3333333333333333</v>
      </c>
    </row>
    <row r="34" spans="1:7" x14ac:dyDescent="0.35">
      <c r="A34">
        <v>34</v>
      </c>
      <c r="B34">
        <v>2021</v>
      </c>
      <c r="C34">
        <v>0</v>
      </c>
      <c r="D34">
        <v>0</v>
      </c>
      <c r="E34">
        <v>0.5</v>
      </c>
      <c r="F34">
        <v>24</v>
      </c>
      <c r="G34">
        <v>1</v>
      </c>
    </row>
    <row r="35" spans="1:7" x14ac:dyDescent="0.35">
      <c r="A35">
        <v>35</v>
      </c>
      <c r="B35">
        <v>2021</v>
      </c>
      <c r="C35">
        <v>0</v>
      </c>
      <c r="D35">
        <v>1.0833333333333333</v>
      </c>
      <c r="E35">
        <v>0.75</v>
      </c>
      <c r="F35">
        <v>37.833333333333336</v>
      </c>
      <c r="G35">
        <v>9.8333333333333339</v>
      </c>
    </row>
    <row r="36" spans="1:7" x14ac:dyDescent="0.35">
      <c r="A36">
        <v>36</v>
      </c>
      <c r="B36">
        <v>2021</v>
      </c>
      <c r="C36">
        <v>0</v>
      </c>
      <c r="D36">
        <v>0</v>
      </c>
      <c r="E36">
        <v>1.25</v>
      </c>
      <c r="F36">
        <v>26.75</v>
      </c>
      <c r="G36">
        <v>0</v>
      </c>
    </row>
    <row r="37" spans="1:7" x14ac:dyDescent="0.35">
      <c r="A37">
        <v>37</v>
      </c>
      <c r="B37">
        <v>2021</v>
      </c>
      <c r="C37">
        <v>0</v>
      </c>
      <c r="D37">
        <v>0</v>
      </c>
      <c r="E37">
        <v>1.5</v>
      </c>
      <c r="F37">
        <v>30.25</v>
      </c>
      <c r="G37">
        <v>0</v>
      </c>
    </row>
    <row r="38" spans="1:7" x14ac:dyDescent="0.35">
      <c r="A38">
        <v>38</v>
      </c>
      <c r="B38">
        <v>2021</v>
      </c>
      <c r="C38">
        <v>0</v>
      </c>
      <c r="D38">
        <v>0</v>
      </c>
      <c r="E38">
        <v>0</v>
      </c>
      <c r="F38">
        <v>67</v>
      </c>
      <c r="G38">
        <v>2</v>
      </c>
    </row>
    <row r="39" spans="1:7" x14ac:dyDescent="0.35">
      <c r="A39">
        <v>39</v>
      </c>
      <c r="B39">
        <v>2021</v>
      </c>
      <c r="C39">
        <v>0</v>
      </c>
      <c r="D39">
        <v>0.25</v>
      </c>
      <c r="E39">
        <v>0</v>
      </c>
      <c r="F39">
        <v>7.25</v>
      </c>
      <c r="G39">
        <v>0</v>
      </c>
    </row>
    <row r="40" spans="1:7" x14ac:dyDescent="0.35">
      <c r="A40">
        <v>41</v>
      </c>
      <c r="B40">
        <v>2021</v>
      </c>
      <c r="C40">
        <v>0</v>
      </c>
      <c r="D40">
        <v>1</v>
      </c>
      <c r="E40">
        <v>0.75</v>
      </c>
      <c r="F40">
        <v>32</v>
      </c>
      <c r="G40">
        <v>8.5</v>
      </c>
    </row>
    <row r="41" spans="1:7" x14ac:dyDescent="0.35">
      <c r="A41" t="s">
        <v>0</v>
      </c>
      <c r="B41">
        <v>2021</v>
      </c>
      <c r="C41">
        <v>0</v>
      </c>
      <c r="D41">
        <v>0.25</v>
      </c>
      <c r="E41">
        <v>1</v>
      </c>
      <c r="F41">
        <v>55.75</v>
      </c>
      <c r="G41">
        <v>4.25</v>
      </c>
    </row>
    <row r="42" spans="1:7" x14ac:dyDescent="0.35">
      <c r="A42">
        <v>1</v>
      </c>
      <c r="B42">
        <v>2022</v>
      </c>
      <c r="C42">
        <v>12</v>
      </c>
      <c r="D42">
        <v>15.666666666666666</v>
      </c>
      <c r="E42">
        <v>22.833333333333336</v>
      </c>
      <c r="F42">
        <v>187.16666666666666</v>
      </c>
      <c r="G42">
        <v>5.333333333333333</v>
      </c>
    </row>
    <row r="43" spans="1:7" x14ac:dyDescent="0.35">
      <c r="A43">
        <v>2</v>
      </c>
      <c r="B43">
        <v>2022</v>
      </c>
      <c r="C43">
        <v>1.25</v>
      </c>
      <c r="D43">
        <v>1.25</v>
      </c>
      <c r="E43">
        <v>0.25</v>
      </c>
      <c r="F43">
        <v>30.5</v>
      </c>
      <c r="G43">
        <v>0</v>
      </c>
    </row>
    <row r="44" spans="1:7" x14ac:dyDescent="0.35">
      <c r="A44">
        <v>3</v>
      </c>
      <c r="B44">
        <v>2022</v>
      </c>
      <c r="C44">
        <v>1.5</v>
      </c>
      <c r="D44">
        <v>4</v>
      </c>
      <c r="E44">
        <v>2.75</v>
      </c>
      <c r="F44">
        <v>45.75</v>
      </c>
      <c r="G44">
        <v>0</v>
      </c>
    </row>
    <row r="45" spans="1:7" x14ac:dyDescent="0.35">
      <c r="A45">
        <v>4</v>
      </c>
      <c r="B45">
        <v>2022</v>
      </c>
      <c r="C45">
        <v>2.5</v>
      </c>
      <c r="D45">
        <v>12.333333333333332</v>
      </c>
      <c r="E45">
        <v>12.833333333333334</v>
      </c>
      <c r="F45">
        <v>80.666666666666671</v>
      </c>
      <c r="G45">
        <v>0</v>
      </c>
    </row>
    <row r="46" spans="1:7" x14ac:dyDescent="0.35">
      <c r="A46">
        <v>5</v>
      </c>
      <c r="B46">
        <v>2022</v>
      </c>
      <c r="C46">
        <v>0</v>
      </c>
      <c r="D46">
        <v>2.3333333333333335</v>
      </c>
      <c r="E46">
        <v>1.3333333333333333</v>
      </c>
      <c r="F46">
        <v>38.666666666666671</v>
      </c>
      <c r="G46">
        <v>0</v>
      </c>
    </row>
    <row r="47" spans="1:7" x14ac:dyDescent="0.35">
      <c r="A47">
        <v>6</v>
      </c>
      <c r="B47">
        <v>2022</v>
      </c>
      <c r="C47">
        <v>0</v>
      </c>
      <c r="D47">
        <v>0</v>
      </c>
      <c r="E47">
        <v>0</v>
      </c>
      <c r="F47">
        <v>22</v>
      </c>
      <c r="G47">
        <v>1.5</v>
      </c>
    </row>
    <row r="48" spans="1:7" x14ac:dyDescent="0.35">
      <c r="A48">
        <v>7</v>
      </c>
      <c r="B48">
        <v>2022</v>
      </c>
      <c r="C48">
        <v>0.25</v>
      </c>
      <c r="D48">
        <v>0</v>
      </c>
      <c r="E48">
        <v>0.75</v>
      </c>
      <c r="F48">
        <v>133</v>
      </c>
      <c r="G48">
        <v>1.5</v>
      </c>
    </row>
    <row r="49" spans="1:7" x14ac:dyDescent="0.35">
      <c r="A49">
        <v>8</v>
      </c>
      <c r="B49">
        <v>2022</v>
      </c>
      <c r="C49">
        <v>0.5</v>
      </c>
      <c r="D49">
        <v>0.5</v>
      </c>
      <c r="E49">
        <v>1</v>
      </c>
      <c r="F49">
        <v>7.75</v>
      </c>
      <c r="G49">
        <v>0</v>
      </c>
    </row>
    <row r="50" spans="1:7" x14ac:dyDescent="0.35">
      <c r="A50">
        <v>9</v>
      </c>
      <c r="B50">
        <v>2022</v>
      </c>
      <c r="C50">
        <v>0.25</v>
      </c>
      <c r="D50">
        <v>1</v>
      </c>
      <c r="E50">
        <v>0.75</v>
      </c>
      <c r="F50">
        <v>11</v>
      </c>
      <c r="G50">
        <v>0</v>
      </c>
    </row>
    <row r="51" spans="1:7" x14ac:dyDescent="0.35">
      <c r="A51">
        <v>11</v>
      </c>
      <c r="B51">
        <v>2022</v>
      </c>
      <c r="C51">
        <v>6.5</v>
      </c>
      <c r="D51">
        <v>4</v>
      </c>
      <c r="E51">
        <v>5</v>
      </c>
      <c r="F51">
        <v>76</v>
      </c>
      <c r="G51">
        <v>0</v>
      </c>
    </row>
    <row r="52" spans="1:7" x14ac:dyDescent="0.35">
      <c r="A52">
        <v>12</v>
      </c>
      <c r="B52">
        <v>2022</v>
      </c>
      <c r="C52">
        <v>13</v>
      </c>
      <c r="D52">
        <v>5.75</v>
      </c>
      <c r="E52">
        <v>6.5</v>
      </c>
      <c r="F52">
        <v>77.25</v>
      </c>
      <c r="G52">
        <v>5</v>
      </c>
    </row>
    <row r="53" spans="1:7" x14ac:dyDescent="0.35">
      <c r="A53">
        <v>13</v>
      </c>
      <c r="B53">
        <v>2022</v>
      </c>
      <c r="C53">
        <v>10.666666666666666</v>
      </c>
      <c r="D53">
        <v>6.333333333333333</v>
      </c>
      <c r="E53">
        <v>3.333333333333333</v>
      </c>
      <c r="F53">
        <v>44</v>
      </c>
      <c r="G53">
        <v>0</v>
      </c>
    </row>
    <row r="54" spans="1:7" x14ac:dyDescent="0.35">
      <c r="A54">
        <v>14</v>
      </c>
      <c r="B54">
        <v>2022</v>
      </c>
      <c r="C54">
        <v>46.25</v>
      </c>
      <c r="D54">
        <v>39.75</v>
      </c>
      <c r="E54">
        <v>31.5</v>
      </c>
      <c r="F54">
        <v>163</v>
      </c>
      <c r="G54">
        <v>2.75</v>
      </c>
    </row>
    <row r="55" spans="1:7" x14ac:dyDescent="0.35">
      <c r="A55">
        <v>15</v>
      </c>
      <c r="B55">
        <v>2022</v>
      </c>
      <c r="C55">
        <v>10.75</v>
      </c>
      <c r="D55">
        <v>18.25</v>
      </c>
      <c r="E55">
        <v>6.25</v>
      </c>
      <c r="F55">
        <v>103.25</v>
      </c>
      <c r="G55">
        <v>0</v>
      </c>
    </row>
    <row r="56" spans="1:7" x14ac:dyDescent="0.35">
      <c r="A56">
        <v>16</v>
      </c>
      <c r="B56">
        <v>2022</v>
      </c>
      <c r="C56">
        <v>0.75</v>
      </c>
      <c r="D56">
        <v>4.75</v>
      </c>
      <c r="E56">
        <v>2.25</v>
      </c>
      <c r="F56">
        <v>112.5</v>
      </c>
      <c r="G56">
        <v>0.25</v>
      </c>
    </row>
    <row r="57" spans="1:7" x14ac:dyDescent="0.35">
      <c r="A57">
        <v>17</v>
      </c>
      <c r="B57">
        <v>2022</v>
      </c>
      <c r="C57">
        <v>1.75</v>
      </c>
      <c r="D57">
        <v>3.75</v>
      </c>
      <c r="E57">
        <v>2</v>
      </c>
      <c r="F57">
        <v>28.25</v>
      </c>
      <c r="G57">
        <v>0.25</v>
      </c>
    </row>
    <row r="58" spans="1:7" x14ac:dyDescent="0.35">
      <c r="A58">
        <v>18</v>
      </c>
      <c r="B58">
        <v>2022</v>
      </c>
      <c r="C58">
        <v>0</v>
      </c>
      <c r="D58">
        <v>0.33333333333333331</v>
      </c>
      <c r="E58">
        <v>0</v>
      </c>
      <c r="F58">
        <v>8.3333333333333339</v>
      </c>
      <c r="G58">
        <v>0</v>
      </c>
    </row>
    <row r="59" spans="1:7" x14ac:dyDescent="0.35">
      <c r="A59">
        <v>19</v>
      </c>
      <c r="B59">
        <v>2022</v>
      </c>
      <c r="C59">
        <v>9.75</v>
      </c>
      <c r="D59">
        <v>13.5</v>
      </c>
      <c r="E59">
        <v>26.25</v>
      </c>
      <c r="F59">
        <v>106.75</v>
      </c>
      <c r="G59">
        <v>0.75</v>
      </c>
    </row>
    <row r="60" spans="1:7" x14ac:dyDescent="0.35">
      <c r="A60">
        <v>20</v>
      </c>
      <c r="B60">
        <v>2022</v>
      </c>
      <c r="C60">
        <v>1</v>
      </c>
      <c r="D60">
        <v>2</v>
      </c>
      <c r="E60">
        <v>7</v>
      </c>
      <c r="F60">
        <v>32</v>
      </c>
      <c r="G60">
        <v>0</v>
      </c>
    </row>
    <row r="61" spans="1:7" x14ac:dyDescent="0.35">
      <c r="A61">
        <v>21</v>
      </c>
      <c r="B61">
        <v>2022</v>
      </c>
      <c r="C61">
        <v>0.66666666666666663</v>
      </c>
      <c r="D61">
        <v>3.6666666666666665</v>
      </c>
      <c r="E61">
        <v>5</v>
      </c>
      <c r="F61">
        <v>26</v>
      </c>
      <c r="G61">
        <v>1</v>
      </c>
    </row>
    <row r="62" spans="1:7" x14ac:dyDescent="0.35">
      <c r="A62">
        <v>22</v>
      </c>
      <c r="B62">
        <v>2022</v>
      </c>
      <c r="C62">
        <v>9</v>
      </c>
      <c r="D62">
        <v>8</v>
      </c>
      <c r="E62">
        <v>8.25</v>
      </c>
      <c r="F62">
        <v>60.25</v>
      </c>
      <c r="G62">
        <v>1</v>
      </c>
    </row>
    <row r="63" spans="1:7" x14ac:dyDescent="0.35">
      <c r="A63">
        <v>23</v>
      </c>
      <c r="B63">
        <v>2022</v>
      </c>
      <c r="C63">
        <v>4.5</v>
      </c>
      <c r="D63">
        <v>3</v>
      </c>
      <c r="E63">
        <v>4.25</v>
      </c>
      <c r="F63">
        <v>128.75</v>
      </c>
      <c r="G63">
        <v>0</v>
      </c>
    </row>
    <row r="64" spans="1:7" x14ac:dyDescent="0.35">
      <c r="A64">
        <v>24</v>
      </c>
      <c r="B64">
        <v>2022</v>
      </c>
      <c r="C64">
        <v>4</v>
      </c>
      <c r="D64">
        <v>3.333333333333333</v>
      </c>
      <c r="E64">
        <v>25</v>
      </c>
      <c r="F64">
        <v>40.666666666666664</v>
      </c>
      <c r="G64">
        <v>0.66666666666666663</v>
      </c>
    </row>
    <row r="65" spans="1:7" x14ac:dyDescent="0.35">
      <c r="A65">
        <v>25</v>
      </c>
      <c r="B65">
        <v>2022</v>
      </c>
      <c r="C65">
        <v>5.5</v>
      </c>
      <c r="D65">
        <v>6.75</v>
      </c>
      <c r="E65">
        <v>9.75</v>
      </c>
      <c r="F65">
        <v>65</v>
      </c>
      <c r="G65">
        <v>0</v>
      </c>
    </row>
    <row r="66" spans="1:7" x14ac:dyDescent="0.35">
      <c r="A66">
        <v>26</v>
      </c>
      <c r="B66">
        <v>2022</v>
      </c>
      <c r="C66">
        <v>1</v>
      </c>
      <c r="D66">
        <v>4.25</v>
      </c>
      <c r="E66">
        <v>3.5</v>
      </c>
      <c r="F66">
        <v>37.5</v>
      </c>
      <c r="G66">
        <v>0</v>
      </c>
    </row>
    <row r="67" spans="1:7" x14ac:dyDescent="0.35">
      <c r="A67">
        <v>27</v>
      </c>
      <c r="B67">
        <v>2022</v>
      </c>
      <c r="C67">
        <v>0</v>
      </c>
      <c r="D67">
        <v>0.33333333333333331</v>
      </c>
      <c r="E67">
        <v>0</v>
      </c>
      <c r="F67">
        <v>3.666666666666667</v>
      </c>
      <c r="G67">
        <v>0</v>
      </c>
    </row>
    <row r="68" spans="1:7" x14ac:dyDescent="0.35">
      <c r="A68">
        <v>28</v>
      </c>
      <c r="B68">
        <v>2022</v>
      </c>
      <c r="C68">
        <v>4.25</v>
      </c>
      <c r="D68">
        <v>13.25</v>
      </c>
      <c r="E68">
        <v>11</v>
      </c>
      <c r="F68">
        <v>97.25</v>
      </c>
      <c r="G68">
        <v>4.25</v>
      </c>
    </row>
    <row r="69" spans="1:7" x14ac:dyDescent="0.35">
      <c r="A69">
        <v>29</v>
      </c>
      <c r="B69">
        <v>2022</v>
      </c>
      <c r="C69">
        <v>2.75</v>
      </c>
      <c r="D69">
        <v>4.5</v>
      </c>
      <c r="E69">
        <v>8.75</v>
      </c>
      <c r="F69">
        <v>39.5</v>
      </c>
      <c r="G69">
        <v>0.25</v>
      </c>
    </row>
    <row r="70" spans="1:7" x14ac:dyDescent="0.35">
      <c r="A70">
        <v>30</v>
      </c>
      <c r="B70">
        <v>2022</v>
      </c>
      <c r="C70">
        <v>19.75</v>
      </c>
      <c r="D70">
        <v>8.75</v>
      </c>
      <c r="E70">
        <v>7.75</v>
      </c>
      <c r="F70">
        <v>87.25</v>
      </c>
      <c r="G70">
        <v>0.25</v>
      </c>
    </row>
    <row r="71" spans="1:7" x14ac:dyDescent="0.35">
      <c r="A71">
        <v>31</v>
      </c>
      <c r="B71">
        <v>2022</v>
      </c>
      <c r="C71">
        <v>7.25</v>
      </c>
      <c r="D71">
        <v>10.75</v>
      </c>
      <c r="E71">
        <v>3</v>
      </c>
      <c r="F71">
        <v>107.75</v>
      </c>
      <c r="G71">
        <v>2.75</v>
      </c>
    </row>
    <row r="72" spans="1:7" x14ac:dyDescent="0.35">
      <c r="A72">
        <v>32</v>
      </c>
      <c r="B72">
        <v>2022</v>
      </c>
      <c r="C72">
        <v>1.5</v>
      </c>
      <c r="D72">
        <v>0</v>
      </c>
      <c r="E72">
        <v>2.5</v>
      </c>
      <c r="F72">
        <v>34</v>
      </c>
      <c r="G72">
        <v>0</v>
      </c>
    </row>
    <row r="73" spans="1:7" x14ac:dyDescent="0.35">
      <c r="A73">
        <v>33</v>
      </c>
      <c r="B73">
        <v>2022</v>
      </c>
      <c r="C73">
        <v>10.75</v>
      </c>
      <c r="D73">
        <v>27</v>
      </c>
      <c r="E73">
        <v>14.25</v>
      </c>
      <c r="F73">
        <v>57.75</v>
      </c>
      <c r="G73">
        <v>0.25</v>
      </c>
    </row>
    <row r="74" spans="1:7" x14ac:dyDescent="0.35">
      <c r="A74">
        <v>34</v>
      </c>
      <c r="B74">
        <v>2022</v>
      </c>
      <c r="C74">
        <v>3</v>
      </c>
      <c r="D74">
        <v>7.3333333333333339</v>
      </c>
      <c r="E74">
        <v>8.3333333333333339</v>
      </c>
      <c r="F74">
        <v>53.666666666666671</v>
      </c>
      <c r="G74">
        <v>0.33333333333333331</v>
      </c>
    </row>
    <row r="75" spans="1:7" x14ac:dyDescent="0.35">
      <c r="A75">
        <v>35</v>
      </c>
      <c r="B75">
        <v>2022</v>
      </c>
      <c r="C75">
        <v>1.3333333333333333</v>
      </c>
      <c r="D75">
        <v>2.3333333333333335</v>
      </c>
      <c r="E75">
        <v>7</v>
      </c>
      <c r="F75">
        <v>41.333333333333336</v>
      </c>
      <c r="G75">
        <v>1.9999999999999998</v>
      </c>
    </row>
    <row r="76" spans="1:7" x14ac:dyDescent="0.35">
      <c r="A76">
        <v>36</v>
      </c>
      <c r="B76">
        <v>2022</v>
      </c>
      <c r="C76">
        <v>2</v>
      </c>
      <c r="D76">
        <v>3</v>
      </c>
      <c r="E76">
        <v>5</v>
      </c>
      <c r="F76">
        <v>126.5</v>
      </c>
      <c r="G76">
        <v>0</v>
      </c>
    </row>
    <row r="77" spans="1:7" x14ac:dyDescent="0.35">
      <c r="A77">
        <v>37</v>
      </c>
      <c r="B77">
        <v>2022</v>
      </c>
      <c r="C77">
        <v>0.66666666666666663</v>
      </c>
      <c r="D77">
        <v>0</v>
      </c>
      <c r="E77">
        <v>1.6666666666666667</v>
      </c>
      <c r="F77">
        <v>40.416666666666664</v>
      </c>
      <c r="G77">
        <v>0</v>
      </c>
    </row>
    <row r="78" spans="1:7" x14ac:dyDescent="0.35">
      <c r="A78">
        <v>38</v>
      </c>
      <c r="B78">
        <v>2022</v>
      </c>
      <c r="C78">
        <v>0.66666666666666663</v>
      </c>
      <c r="D78">
        <v>8.3333333333333339</v>
      </c>
      <c r="E78">
        <v>12</v>
      </c>
      <c r="F78">
        <v>73.666666666666657</v>
      </c>
      <c r="G78">
        <v>0</v>
      </c>
    </row>
    <row r="79" spans="1:7" x14ac:dyDescent="0.35">
      <c r="A79">
        <v>39</v>
      </c>
      <c r="B79">
        <v>2022</v>
      </c>
      <c r="C79">
        <v>31.333333333333332</v>
      </c>
      <c r="D79">
        <v>40.833333333333336</v>
      </c>
      <c r="E79">
        <v>8.6666666666666661</v>
      </c>
      <c r="F79">
        <v>85.166666666666657</v>
      </c>
      <c r="G79">
        <v>0</v>
      </c>
    </row>
    <row r="80" spans="1:7" x14ac:dyDescent="0.35">
      <c r="A80">
        <v>41</v>
      </c>
      <c r="B80">
        <v>2022</v>
      </c>
      <c r="C80">
        <v>5</v>
      </c>
      <c r="D80">
        <v>6</v>
      </c>
      <c r="E80">
        <v>3.333333333333333</v>
      </c>
      <c r="F80">
        <v>66.333333333333343</v>
      </c>
      <c r="G80">
        <v>0.33333333333333331</v>
      </c>
    </row>
    <row r="81" spans="1:7" x14ac:dyDescent="0.35">
      <c r="A81" t="s">
        <v>0</v>
      </c>
      <c r="B81">
        <v>2022</v>
      </c>
      <c r="C81">
        <v>0.5</v>
      </c>
      <c r="D81">
        <v>4</v>
      </c>
      <c r="E81">
        <v>1.25</v>
      </c>
      <c r="F81">
        <v>35.5</v>
      </c>
      <c r="G81">
        <v>0.75</v>
      </c>
    </row>
    <row r="82" spans="1:7" x14ac:dyDescent="0.35">
      <c r="A82">
        <v>1</v>
      </c>
      <c r="B82">
        <v>2023</v>
      </c>
      <c r="C82">
        <v>1</v>
      </c>
      <c r="D82">
        <v>9</v>
      </c>
      <c r="E82">
        <v>29</v>
      </c>
      <c r="F82">
        <v>33</v>
      </c>
      <c r="G82">
        <v>13</v>
      </c>
    </row>
    <row r="83" spans="1:7" x14ac:dyDescent="0.35">
      <c r="A83">
        <v>2</v>
      </c>
      <c r="B83">
        <v>2023</v>
      </c>
      <c r="C83">
        <v>1</v>
      </c>
      <c r="D83">
        <v>2.5</v>
      </c>
      <c r="E83">
        <v>6.5</v>
      </c>
      <c r="F83">
        <v>24.5</v>
      </c>
      <c r="G83">
        <v>10</v>
      </c>
    </row>
    <row r="84" spans="1:7" x14ac:dyDescent="0.35">
      <c r="A84">
        <v>4</v>
      </c>
      <c r="B84">
        <v>2023</v>
      </c>
      <c r="C84">
        <v>1</v>
      </c>
      <c r="D84">
        <v>16</v>
      </c>
      <c r="E84">
        <v>4</v>
      </c>
      <c r="F84">
        <v>59</v>
      </c>
      <c r="G84">
        <v>7</v>
      </c>
    </row>
    <row r="85" spans="1:7" x14ac:dyDescent="0.35">
      <c r="A85">
        <v>5</v>
      </c>
      <c r="B85">
        <v>2023</v>
      </c>
      <c r="C85">
        <v>3.3333333333333335</v>
      </c>
      <c r="D85">
        <v>3</v>
      </c>
      <c r="E85">
        <v>2</v>
      </c>
      <c r="F85">
        <v>3.6666666666666665</v>
      </c>
      <c r="G85">
        <v>0.66666666666666663</v>
      </c>
    </row>
    <row r="86" spans="1:7" x14ac:dyDescent="0.35">
      <c r="A86">
        <v>7</v>
      </c>
      <c r="B86">
        <v>2023</v>
      </c>
      <c r="C86">
        <v>0</v>
      </c>
      <c r="D86">
        <v>0</v>
      </c>
      <c r="E86">
        <v>0</v>
      </c>
      <c r="F86">
        <v>55.5</v>
      </c>
      <c r="G86">
        <v>7</v>
      </c>
    </row>
    <row r="87" spans="1:7" x14ac:dyDescent="0.35">
      <c r="A87">
        <v>8</v>
      </c>
      <c r="B87">
        <v>2023</v>
      </c>
      <c r="C87">
        <v>0</v>
      </c>
      <c r="D87">
        <v>6.5</v>
      </c>
      <c r="E87">
        <v>7.5</v>
      </c>
      <c r="F87">
        <v>24</v>
      </c>
      <c r="G87">
        <v>1</v>
      </c>
    </row>
    <row r="88" spans="1:7" x14ac:dyDescent="0.35">
      <c r="A88">
        <v>9</v>
      </c>
      <c r="B88">
        <v>2023</v>
      </c>
      <c r="C88">
        <v>0</v>
      </c>
      <c r="D88">
        <v>0</v>
      </c>
      <c r="E88">
        <v>0</v>
      </c>
      <c r="F88">
        <v>0.5</v>
      </c>
      <c r="G88">
        <v>0</v>
      </c>
    </row>
    <row r="89" spans="1:7" x14ac:dyDescent="0.35">
      <c r="A89">
        <v>11</v>
      </c>
      <c r="B89">
        <v>2023</v>
      </c>
      <c r="C89">
        <v>0.5</v>
      </c>
      <c r="D89">
        <v>0.5</v>
      </c>
      <c r="E89">
        <v>4.5</v>
      </c>
      <c r="F89">
        <v>24.5</v>
      </c>
      <c r="G89">
        <v>0</v>
      </c>
    </row>
    <row r="90" spans="1:7" x14ac:dyDescent="0.35">
      <c r="A90">
        <v>12</v>
      </c>
      <c r="B90">
        <v>2023</v>
      </c>
      <c r="C90">
        <v>0</v>
      </c>
      <c r="D90">
        <v>0.5</v>
      </c>
      <c r="E90">
        <v>13.5</v>
      </c>
      <c r="F90">
        <v>1</v>
      </c>
      <c r="G90">
        <v>12.5</v>
      </c>
    </row>
    <row r="91" spans="1:7" x14ac:dyDescent="0.35">
      <c r="A91">
        <v>13</v>
      </c>
      <c r="B91">
        <v>2023</v>
      </c>
      <c r="C91">
        <v>64</v>
      </c>
      <c r="D91">
        <v>32</v>
      </c>
      <c r="E91">
        <v>9</v>
      </c>
      <c r="F91">
        <v>50</v>
      </c>
      <c r="G91">
        <v>7</v>
      </c>
    </row>
    <row r="92" spans="1:7" x14ac:dyDescent="0.35">
      <c r="A92">
        <v>14</v>
      </c>
      <c r="B92">
        <v>2023</v>
      </c>
      <c r="C92">
        <v>0</v>
      </c>
      <c r="D92">
        <v>2</v>
      </c>
      <c r="E92">
        <v>8.5</v>
      </c>
      <c r="F92">
        <v>8</v>
      </c>
      <c r="G92">
        <v>7</v>
      </c>
    </row>
    <row r="93" spans="1:7" x14ac:dyDescent="0.35">
      <c r="A93">
        <v>15</v>
      </c>
      <c r="B93">
        <v>2023</v>
      </c>
      <c r="C93">
        <v>1</v>
      </c>
      <c r="D93">
        <v>23.5</v>
      </c>
      <c r="E93">
        <v>17.5</v>
      </c>
      <c r="F93">
        <v>31</v>
      </c>
      <c r="G93">
        <v>13</v>
      </c>
    </row>
    <row r="94" spans="1:7" x14ac:dyDescent="0.35">
      <c r="A94">
        <v>16</v>
      </c>
      <c r="B94">
        <v>2023</v>
      </c>
      <c r="C94">
        <v>0</v>
      </c>
      <c r="D94">
        <v>0</v>
      </c>
      <c r="E94">
        <v>1.5</v>
      </c>
      <c r="F94">
        <v>6.5</v>
      </c>
      <c r="G94">
        <v>1.25</v>
      </c>
    </row>
    <row r="95" spans="1:7" x14ac:dyDescent="0.35">
      <c r="A95">
        <v>17</v>
      </c>
      <c r="B95">
        <v>2023</v>
      </c>
      <c r="C95">
        <v>1.25</v>
      </c>
      <c r="D95">
        <v>1</v>
      </c>
      <c r="E95">
        <v>0.25</v>
      </c>
      <c r="F95">
        <v>0.25</v>
      </c>
      <c r="G95">
        <v>3.25</v>
      </c>
    </row>
    <row r="96" spans="1:7" x14ac:dyDescent="0.35">
      <c r="A96">
        <v>18</v>
      </c>
      <c r="B96">
        <v>2023</v>
      </c>
      <c r="C96">
        <v>0.5</v>
      </c>
      <c r="D96">
        <v>1</v>
      </c>
      <c r="E96">
        <v>1.5</v>
      </c>
      <c r="F96">
        <v>3</v>
      </c>
      <c r="G96">
        <v>2</v>
      </c>
    </row>
    <row r="97" spans="1:7" x14ac:dyDescent="0.35">
      <c r="A97">
        <v>19</v>
      </c>
      <c r="B97">
        <v>2023</v>
      </c>
      <c r="C97">
        <v>1</v>
      </c>
      <c r="D97">
        <v>3</v>
      </c>
      <c r="E97">
        <v>11</v>
      </c>
      <c r="F97">
        <v>14</v>
      </c>
      <c r="G97">
        <v>0</v>
      </c>
    </row>
    <row r="98" spans="1:7" x14ac:dyDescent="0.35">
      <c r="A98">
        <v>20</v>
      </c>
      <c r="B98">
        <v>2023</v>
      </c>
      <c r="C98">
        <v>2</v>
      </c>
      <c r="D98">
        <v>1</v>
      </c>
      <c r="E98">
        <v>17</v>
      </c>
      <c r="F98">
        <v>7</v>
      </c>
      <c r="G98">
        <v>3</v>
      </c>
    </row>
    <row r="99" spans="1:7" x14ac:dyDescent="0.35">
      <c r="A99">
        <v>21</v>
      </c>
      <c r="B99">
        <v>2023</v>
      </c>
      <c r="C99">
        <v>2</v>
      </c>
      <c r="D99">
        <v>12</v>
      </c>
      <c r="E99">
        <v>32</v>
      </c>
      <c r="F99">
        <v>33</v>
      </c>
      <c r="G99">
        <v>4</v>
      </c>
    </row>
    <row r="100" spans="1:7" x14ac:dyDescent="0.35">
      <c r="A100">
        <v>22</v>
      </c>
      <c r="B100">
        <v>2023</v>
      </c>
      <c r="C100">
        <v>9.3333333333333339</v>
      </c>
      <c r="D100">
        <v>25.666666666666668</v>
      </c>
      <c r="E100">
        <v>15.666666666666666</v>
      </c>
      <c r="F100">
        <v>72.333333333333329</v>
      </c>
      <c r="G100">
        <v>7.666666666666667</v>
      </c>
    </row>
    <row r="101" spans="1:7" x14ac:dyDescent="0.35">
      <c r="A101">
        <v>23</v>
      </c>
      <c r="B101">
        <v>2023</v>
      </c>
      <c r="C101">
        <v>7</v>
      </c>
      <c r="D101">
        <v>18</v>
      </c>
      <c r="E101">
        <v>22.333333333333332</v>
      </c>
      <c r="F101">
        <v>41.666666666666664</v>
      </c>
      <c r="G101">
        <v>2</v>
      </c>
    </row>
    <row r="102" spans="1:7" x14ac:dyDescent="0.35">
      <c r="A102">
        <v>24</v>
      </c>
      <c r="B102">
        <v>2023</v>
      </c>
      <c r="C102">
        <v>0</v>
      </c>
      <c r="D102">
        <v>0</v>
      </c>
      <c r="E102">
        <v>2</v>
      </c>
      <c r="F102">
        <v>5</v>
      </c>
      <c r="G102">
        <v>0</v>
      </c>
    </row>
    <row r="103" spans="1:7" x14ac:dyDescent="0.35">
      <c r="A103">
        <v>25</v>
      </c>
      <c r="B103">
        <v>2023</v>
      </c>
      <c r="C103">
        <v>3</v>
      </c>
      <c r="D103">
        <v>8</v>
      </c>
      <c r="E103">
        <v>8.6666666666666661</v>
      </c>
      <c r="F103">
        <v>10.333333333333334</v>
      </c>
      <c r="G103">
        <v>0.33333333333333331</v>
      </c>
    </row>
    <row r="104" spans="1:7" x14ac:dyDescent="0.35">
      <c r="A104">
        <v>26</v>
      </c>
      <c r="B104">
        <v>2023</v>
      </c>
      <c r="C104">
        <v>1.25</v>
      </c>
      <c r="D104">
        <v>6.25</v>
      </c>
      <c r="E104">
        <v>13.5</v>
      </c>
      <c r="F104">
        <v>16.75</v>
      </c>
      <c r="G104">
        <v>1.25</v>
      </c>
    </row>
    <row r="105" spans="1:7" x14ac:dyDescent="0.35">
      <c r="A105">
        <v>27</v>
      </c>
      <c r="B105">
        <v>2023</v>
      </c>
      <c r="C105">
        <v>0.33333333333333331</v>
      </c>
      <c r="D105">
        <v>0.66666666666666663</v>
      </c>
      <c r="E105">
        <v>2.3333333333333335</v>
      </c>
      <c r="F105">
        <v>3</v>
      </c>
      <c r="G105">
        <v>0.33333333333333331</v>
      </c>
    </row>
    <row r="106" spans="1:7" x14ac:dyDescent="0.35">
      <c r="A106">
        <v>28</v>
      </c>
      <c r="B106">
        <v>2023</v>
      </c>
      <c r="C106">
        <v>0.5</v>
      </c>
      <c r="D106">
        <v>6.5</v>
      </c>
      <c r="E106">
        <v>1</v>
      </c>
      <c r="F106">
        <v>11</v>
      </c>
      <c r="G106">
        <v>19.5</v>
      </c>
    </row>
    <row r="107" spans="1:7" x14ac:dyDescent="0.35">
      <c r="A107">
        <v>29</v>
      </c>
      <c r="B107">
        <v>2023</v>
      </c>
      <c r="C107">
        <v>0.5</v>
      </c>
      <c r="D107">
        <v>0.5</v>
      </c>
      <c r="E107">
        <v>1</v>
      </c>
      <c r="F107">
        <v>1</v>
      </c>
      <c r="G107">
        <v>0.25</v>
      </c>
    </row>
    <row r="108" spans="1:7" x14ac:dyDescent="0.35">
      <c r="A108">
        <v>30</v>
      </c>
      <c r="B108">
        <v>2023</v>
      </c>
      <c r="C108">
        <v>0</v>
      </c>
      <c r="D108">
        <v>0</v>
      </c>
      <c r="E108">
        <v>5</v>
      </c>
      <c r="F108">
        <v>14</v>
      </c>
      <c r="G108">
        <v>0</v>
      </c>
    </row>
    <row r="109" spans="1:7" x14ac:dyDescent="0.35">
      <c r="A109">
        <v>31</v>
      </c>
      <c r="B109">
        <v>2023</v>
      </c>
      <c r="C109">
        <v>0.5</v>
      </c>
      <c r="D109">
        <v>3.5</v>
      </c>
      <c r="E109">
        <v>2</v>
      </c>
      <c r="F109">
        <v>22.5</v>
      </c>
      <c r="G109">
        <v>18</v>
      </c>
    </row>
    <row r="110" spans="1:7" x14ac:dyDescent="0.35">
      <c r="A110">
        <v>33</v>
      </c>
      <c r="B110">
        <v>2023</v>
      </c>
      <c r="C110">
        <v>0.75</v>
      </c>
      <c r="D110">
        <v>11.25</v>
      </c>
      <c r="E110">
        <v>9.5</v>
      </c>
      <c r="F110">
        <v>13.5</v>
      </c>
      <c r="G110">
        <v>3.25</v>
      </c>
    </row>
    <row r="111" spans="1:7" x14ac:dyDescent="0.35">
      <c r="A111">
        <v>35</v>
      </c>
      <c r="B111">
        <v>2023</v>
      </c>
      <c r="C111">
        <v>0.5</v>
      </c>
      <c r="D111">
        <v>0</v>
      </c>
      <c r="E111">
        <v>1</v>
      </c>
      <c r="F111">
        <v>3</v>
      </c>
      <c r="G111">
        <v>1</v>
      </c>
    </row>
    <row r="112" spans="1:7" x14ac:dyDescent="0.35">
      <c r="A112">
        <v>37</v>
      </c>
      <c r="B112">
        <v>2023</v>
      </c>
      <c r="C112">
        <v>1</v>
      </c>
      <c r="D112">
        <v>9</v>
      </c>
      <c r="E112">
        <v>12</v>
      </c>
      <c r="F112">
        <v>41</v>
      </c>
      <c r="G112">
        <v>0</v>
      </c>
    </row>
    <row r="113" spans="1:7" x14ac:dyDescent="0.35">
      <c r="A113">
        <v>38</v>
      </c>
      <c r="B113">
        <v>2023</v>
      </c>
      <c r="C113">
        <v>0</v>
      </c>
      <c r="D113">
        <v>0.5</v>
      </c>
      <c r="E113">
        <v>4</v>
      </c>
      <c r="F113">
        <v>7.5</v>
      </c>
      <c r="G113">
        <v>0</v>
      </c>
    </row>
    <row r="114" spans="1:7" x14ac:dyDescent="0.35">
      <c r="A114">
        <v>39</v>
      </c>
      <c r="B114">
        <v>2023</v>
      </c>
      <c r="C114">
        <v>2</v>
      </c>
      <c r="D114">
        <v>4.5</v>
      </c>
      <c r="E114">
        <v>4.5</v>
      </c>
      <c r="F114">
        <v>19</v>
      </c>
      <c r="G114">
        <v>0</v>
      </c>
    </row>
    <row r="115" spans="1:7" x14ac:dyDescent="0.35">
      <c r="A115">
        <v>41</v>
      </c>
      <c r="B115">
        <v>2023</v>
      </c>
      <c r="C115">
        <v>3</v>
      </c>
      <c r="D115">
        <v>10</v>
      </c>
      <c r="E115">
        <v>35</v>
      </c>
      <c r="F115">
        <v>11</v>
      </c>
      <c r="G115">
        <v>2</v>
      </c>
    </row>
    <row r="116" spans="1:7" x14ac:dyDescent="0.35">
      <c r="A116" t="s">
        <v>0</v>
      </c>
      <c r="B116">
        <v>2023</v>
      </c>
      <c r="C116">
        <v>2</v>
      </c>
      <c r="D116">
        <v>16</v>
      </c>
      <c r="E116">
        <v>8</v>
      </c>
      <c r="F116">
        <v>52</v>
      </c>
      <c r="G116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39C9-4559-4F8B-862D-E4BE69D8FFBE}">
  <dimension ref="A3:E44"/>
  <sheetViews>
    <sheetView zoomScale="70" zoomScaleNormal="70" workbookViewId="0">
      <selection activeCell="E5" sqref="E5:E44"/>
    </sheetView>
  </sheetViews>
  <sheetFormatPr defaultRowHeight="14.5" x14ac:dyDescent="0.35"/>
  <cols>
    <col min="1" max="1" width="13.08984375" bestFit="1" customWidth="1"/>
    <col min="2" max="2" width="15.90625" bestFit="1" customWidth="1"/>
    <col min="3" max="4" width="7.81640625" bestFit="1" customWidth="1"/>
    <col min="5" max="5" width="10.7265625" bestFit="1" customWidth="1"/>
    <col min="6" max="6" width="12.7265625" bestFit="1" customWidth="1"/>
    <col min="7" max="7" width="11.81640625" bestFit="1" customWidth="1"/>
    <col min="8" max="8" width="17.6328125" bestFit="1" customWidth="1"/>
    <col min="9" max="9" width="15.08984375" bestFit="1" customWidth="1"/>
  </cols>
  <sheetData>
    <row r="3" spans="1:5" x14ac:dyDescent="0.35">
      <c r="A3" s="1" t="s">
        <v>13</v>
      </c>
      <c r="B3" s="1" t="s">
        <v>10</v>
      </c>
    </row>
    <row r="4" spans="1:5" x14ac:dyDescent="0.35">
      <c r="A4" s="1" t="s">
        <v>8</v>
      </c>
      <c r="B4">
        <v>2021</v>
      </c>
      <c r="C4">
        <v>2022</v>
      </c>
      <c r="D4">
        <v>2023</v>
      </c>
      <c r="E4" t="s">
        <v>9</v>
      </c>
    </row>
    <row r="5" spans="1:5" x14ac:dyDescent="0.35">
      <c r="A5" s="2">
        <v>1</v>
      </c>
      <c r="B5" s="4">
        <v>6.9351230425055935E-2</v>
      </c>
      <c r="C5" s="4">
        <v>0.17534246575342466</v>
      </c>
      <c r="D5" s="4">
        <v>8.8285229202037352E-2</v>
      </c>
      <c r="E5" s="4">
        <v>9.0123812266052414E-2</v>
      </c>
    </row>
    <row r="6" spans="1:5" x14ac:dyDescent="0.35">
      <c r="A6" s="2">
        <v>2</v>
      </c>
      <c r="B6" s="4">
        <v>3.3557046979865779E-2</v>
      </c>
      <c r="C6" s="4">
        <v>0</v>
      </c>
      <c r="D6" s="4">
        <v>6.7911714770797965E-2</v>
      </c>
      <c r="E6" s="4">
        <v>4.7509357903829548E-2</v>
      </c>
    </row>
    <row r="7" spans="1:5" x14ac:dyDescent="0.35">
      <c r="A7" s="2">
        <v>3</v>
      </c>
      <c r="B7" s="4">
        <v>1.5659955257270694E-2</v>
      </c>
      <c r="C7" s="4">
        <v>0</v>
      </c>
      <c r="D7" s="4">
        <v>0</v>
      </c>
      <c r="E7" s="4">
        <v>6.0466455513964882E-3</v>
      </c>
    </row>
    <row r="8" spans="1:5" x14ac:dyDescent="0.35">
      <c r="A8" s="2">
        <v>4</v>
      </c>
      <c r="B8" s="4">
        <v>2.2371364653243849E-2</v>
      </c>
      <c r="C8" s="4">
        <v>0</v>
      </c>
      <c r="D8" s="4">
        <v>4.7538200339558571E-2</v>
      </c>
      <c r="E8" s="4">
        <v>3.2824647279009508E-2</v>
      </c>
    </row>
    <row r="9" spans="1:5" x14ac:dyDescent="0.35">
      <c r="A9" s="2">
        <v>5</v>
      </c>
      <c r="B9" s="4">
        <v>2.9828486204325133E-3</v>
      </c>
      <c r="C9" s="4">
        <v>0</v>
      </c>
      <c r="D9" s="4">
        <v>4.5274476513865302E-3</v>
      </c>
      <c r="E9" s="4">
        <v>3.4552260293694219E-3</v>
      </c>
    </row>
    <row r="10" spans="1:5" x14ac:dyDescent="0.35">
      <c r="A10" s="2">
        <v>6</v>
      </c>
      <c r="B10" s="4">
        <v>4.9217002237136473E-2</v>
      </c>
      <c r="C10" s="4">
        <v>4.9315068493150691E-2</v>
      </c>
      <c r="D10" s="4">
        <v>0</v>
      </c>
      <c r="E10" s="4">
        <v>2.4186582205585953E-2</v>
      </c>
    </row>
    <row r="11" spans="1:5" x14ac:dyDescent="0.35">
      <c r="A11" s="2">
        <v>7</v>
      </c>
      <c r="B11" s="4">
        <v>8.5011185682326629E-2</v>
      </c>
      <c r="C11" s="4">
        <v>4.9315068493150691E-2</v>
      </c>
      <c r="D11" s="4">
        <v>4.7538200339558571E-2</v>
      </c>
      <c r="E11" s="4">
        <v>6.2194068528649588E-2</v>
      </c>
    </row>
    <row r="12" spans="1:5" x14ac:dyDescent="0.35">
      <c r="A12" s="2">
        <v>8</v>
      </c>
      <c r="B12" s="4">
        <v>0</v>
      </c>
      <c r="C12" s="4">
        <v>0</v>
      </c>
      <c r="D12" s="4">
        <v>6.7911714770797962E-3</v>
      </c>
      <c r="E12" s="4">
        <v>3.4552260293694219E-3</v>
      </c>
    </row>
    <row r="13" spans="1:5" x14ac:dyDescent="0.35">
      <c r="A13" s="2">
        <v>9</v>
      </c>
      <c r="B13" s="4">
        <v>2.2371364653243852E-3</v>
      </c>
      <c r="C13" s="4">
        <v>0</v>
      </c>
      <c r="D13" s="4">
        <v>0</v>
      </c>
      <c r="E13" s="4">
        <v>8.6380650734235547E-4</v>
      </c>
    </row>
    <row r="14" spans="1:5" x14ac:dyDescent="0.35">
      <c r="A14" s="2">
        <v>11</v>
      </c>
      <c r="B14" s="4">
        <v>2.2371364653243852E-3</v>
      </c>
      <c r="C14" s="4">
        <v>0</v>
      </c>
      <c r="D14" s="4">
        <v>0</v>
      </c>
      <c r="E14" s="4">
        <v>8.6380650734235547E-4</v>
      </c>
    </row>
    <row r="15" spans="1:5" x14ac:dyDescent="0.35">
      <c r="A15" s="2">
        <v>12</v>
      </c>
      <c r="B15" s="4">
        <v>6.7114093959731551E-3</v>
      </c>
      <c r="C15" s="4">
        <v>0.16438356164383564</v>
      </c>
      <c r="D15" s="4">
        <v>8.4889643463497449E-2</v>
      </c>
      <c r="E15" s="4">
        <v>6.3057875035991945E-2</v>
      </c>
    </row>
    <row r="16" spans="1:5" x14ac:dyDescent="0.35">
      <c r="A16" s="2">
        <v>13</v>
      </c>
      <c r="B16" s="4">
        <v>2.2371364653243849E-2</v>
      </c>
      <c r="C16" s="4">
        <v>0</v>
      </c>
      <c r="D16" s="4">
        <v>4.7538200339558571E-2</v>
      </c>
      <c r="E16" s="4">
        <v>3.2824647279009508E-2</v>
      </c>
    </row>
    <row r="17" spans="1:5" x14ac:dyDescent="0.35">
      <c r="A17" s="2">
        <v>14</v>
      </c>
      <c r="B17" s="4">
        <v>0</v>
      </c>
      <c r="C17" s="4">
        <v>9.0410958904109592E-2</v>
      </c>
      <c r="D17" s="4">
        <v>4.7538200339558571E-2</v>
      </c>
      <c r="E17" s="4">
        <v>3.3688453786351859E-2</v>
      </c>
    </row>
    <row r="18" spans="1:5" x14ac:dyDescent="0.35">
      <c r="A18" s="2">
        <v>15</v>
      </c>
      <c r="B18" s="4">
        <v>6.8605518269947818E-2</v>
      </c>
      <c r="C18" s="4">
        <v>0</v>
      </c>
      <c r="D18" s="4">
        <v>8.8285229202037352E-2</v>
      </c>
      <c r="E18" s="4">
        <v>7.1408004606968056E-2</v>
      </c>
    </row>
    <row r="19" spans="1:5" x14ac:dyDescent="0.35">
      <c r="A19" s="2">
        <v>16</v>
      </c>
      <c r="B19" s="4">
        <v>0</v>
      </c>
      <c r="C19" s="4">
        <v>8.2191780821917818E-3</v>
      </c>
      <c r="D19" s="4">
        <v>8.4889643463497456E-3</v>
      </c>
      <c r="E19" s="4">
        <v>5.1828390440541326E-3</v>
      </c>
    </row>
    <row r="20" spans="1:5" x14ac:dyDescent="0.35">
      <c r="A20" s="2">
        <v>17</v>
      </c>
      <c r="B20" s="4">
        <v>6.7114093959731551E-3</v>
      </c>
      <c r="C20" s="4">
        <v>8.2191780821917818E-3</v>
      </c>
      <c r="D20" s="4">
        <v>2.2071307300509338E-2</v>
      </c>
      <c r="E20" s="4">
        <v>1.4684710624820043E-2</v>
      </c>
    </row>
    <row r="21" spans="1:5" x14ac:dyDescent="0.35">
      <c r="A21" s="2">
        <v>18</v>
      </c>
      <c r="B21" s="4">
        <v>1.4914243102162566E-2</v>
      </c>
      <c r="C21" s="4">
        <v>0</v>
      </c>
      <c r="D21" s="4">
        <v>1.3582342954159592E-2</v>
      </c>
      <c r="E21" s="4">
        <v>1.2669162107687879E-2</v>
      </c>
    </row>
    <row r="22" spans="1:5" x14ac:dyDescent="0.35">
      <c r="A22" s="2">
        <v>19</v>
      </c>
      <c r="B22" s="4">
        <v>4.4742729306487703E-3</v>
      </c>
      <c r="C22" s="4">
        <v>2.4657534246575345E-2</v>
      </c>
      <c r="D22" s="4">
        <v>0</v>
      </c>
      <c r="E22" s="4">
        <v>4.319032536711777E-3</v>
      </c>
    </row>
    <row r="23" spans="1:5" x14ac:dyDescent="0.35">
      <c r="A23" s="2">
        <v>20</v>
      </c>
      <c r="B23" s="4">
        <v>6.7114093959731558E-2</v>
      </c>
      <c r="C23" s="4">
        <v>0</v>
      </c>
      <c r="D23" s="4">
        <v>2.037351443123939E-2</v>
      </c>
      <c r="E23" s="4">
        <v>3.6279873308378931E-2</v>
      </c>
    </row>
    <row r="24" spans="1:5" x14ac:dyDescent="0.35">
      <c r="A24" s="2">
        <v>21</v>
      </c>
      <c r="B24" s="4">
        <v>8.9485458612975407E-3</v>
      </c>
      <c r="C24" s="4">
        <v>3.2876712328767127E-2</v>
      </c>
      <c r="D24" s="4">
        <v>2.7164685908319185E-2</v>
      </c>
      <c r="E24" s="4">
        <v>2.073135617621653E-2</v>
      </c>
    </row>
    <row r="25" spans="1:5" x14ac:dyDescent="0.35">
      <c r="A25" s="2">
        <v>22</v>
      </c>
      <c r="B25" s="4">
        <v>0.15659955257270697</v>
      </c>
      <c r="C25" s="4">
        <v>3.2876712328767127E-2</v>
      </c>
      <c r="D25" s="4">
        <v>5.2065647990945103E-2</v>
      </c>
      <c r="E25" s="4">
        <v>9.0411747768499875E-2</v>
      </c>
    </row>
    <row r="26" spans="1:5" x14ac:dyDescent="0.35">
      <c r="A26" s="2">
        <v>23</v>
      </c>
      <c r="B26" s="4">
        <v>2.2371364653243852E-3</v>
      </c>
      <c r="C26" s="4">
        <v>0</v>
      </c>
      <c r="D26" s="4">
        <v>1.3582342954159592E-2</v>
      </c>
      <c r="E26" s="4">
        <v>7.7742585660811984E-3</v>
      </c>
    </row>
    <row r="27" spans="1:5" x14ac:dyDescent="0.35">
      <c r="A27" s="2">
        <v>24</v>
      </c>
      <c r="B27" s="4">
        <v>3.2811334824757649E-2</v>
      </c>
      <c r="C27" s="4">
        <v>2.1917808219178082E-2</v>
      </c>
      <c r="D27" s="4">
        <v>0</v>
      </c>
      <c r="E27" s="4">
        <v>1.4972646127267496E-2</v>
      </c>
    </row>
    <row r="28" spans="1:5" x14ac:dyDescent="0.35">
      <c r="A28" s="2">
        <v>25</v>
      </c>
      <c r="B28" s="4">
        <v>2.2371364653243852E-3</v>
      </c>
      <c r="C28" s="4">
        <v>0</v>
      </c>
      <c r="D28" s="4">
        <v>2.2637238256932651E-3</v>
      </c>
      <c r="E28" s="4">
        <v>2.0155485171321624E-3</v>
      </c>
    </row>
    <row r="29" spans="1:5" x14ac:dyDescent="0.35">
      <c r="A29" s="2">
        <v>26</v>
      </c>
      <c r="B29" s="4">
        <v>4.4742729306487703E-3</v>
      </c>
      <c r="C29" s="4">
        <v>0</v>
      </c>
      <c r="D29" s="4">
        <v>8.4889643463497456E-3</v>
      </c>
      <c r="E29" s="4">
        <v>6.0466455513964882E-3</v>
      </c>
    </row>
    <row r="30" spans="1:5" x14ac:dyDescent="0.35">
      <c r="A30" s="2">
        <v>27</v>
      </c>
      <c r="B30" s="4">
        <v>0</v>
      </c>
      <c r="C30" s="4">
        <v>0</v>
      </c>
      <c r="D30" s="4">
        <v>2.2637238256932651E-3</v>
      </c>
      <c r="E30" s="4">
        <v>1.1517420097898071E-3</v>
      </c>
    </row>
    <row r="31" spans="1:5" x14ac:dyDescent="0.35">
      <c r="A31" s="2">
        <v>28</v>
      </c>
      <c r="B31" s="4">
        <v>4.4742729306487703E-3</v>
      </c>
      <c r="C31" s="4">
        <v>0.13972602739726028</v>
      </c>
      <c r="D31" s="4">
        <v>0.13242784380305603</v>
      </c>
      <c r="E31" s="4">
        <v>8.3789231212208479E-2</v>
      </c>
    </row>
    <row r="32" spans="1:5" x14ac:dyDescent="0.35">
      <c r="A32" s="2">
        <v>29</v>
      </c>
      <c r="B32" s="4">
        <v>0</v>
      </c>
      <c r="C32" s="4">
        <v>8.2191780821917818E-3</v>
      </c>
      <c r="D32" s="4">
        <v>1.697792869269949E-3</v>
      </c>
      <c r="E32" s="4">
        <v>1.7276130146847109E-3</v>
      </c>
    </row>
    <row r="33" spans="1:5" x14ac:dyDescent="0.35">
      <c r="A33" s="2">
        <v>30</v>
      </c>
      <c r="B33" s="4">
        <v>0</v>
      </c>
      <c r="C33" s="4">
        <v>8.2191780821917818E-3</v>
      </c>
      <c r="D33" s="4">
        <v>0</v>
      </c>
      <c r="E33" s="4">
        <v>8.6380650734235547E-4</v>
      </c>
    </row>
    <row r="34" spans="1:5" x14ac:dyDescent="0.35">
      <c r="A34" s="2">
        <v>31</v>
      </c>
      <c r="B34" s="4">
        <v>5.3691275167785241E-2</v>
      </c>
      <c r="C34" s="4">
        <v>9.0410958904109592E-2</v>
      </c>
      <c r="D34" s="4">
        <v>0.12224108658743633</v>
      </c>
      <c r="E34" s="4">
        <v>9.2427296285632024E-2</v>
      </c>
    </row>
    <row r="35" spans="1:5" x14ac:dyDescent="0.35">
      <c r="A35" s="2">
        <v>32</v>
      </c>
      <c r="B35" s="4">
        <v>5.8165548098434008E-2</v>
      </c>
      <c r="C35" s="4">
        <v>0</v>
      </c>
      <c r="D35" s="4">
        <v>0</v>
      </c>
      <c r="E35" s="4">
        <v>2.2458969190901241E-2</v>
      </c>
    </row>
    <row r="36" spans="1:5" x14ac:dyDescent="0.35">
      <c r="A36" s="2">
        <v>33</v>
      </c>
      <c r="B36" s="4">
        <v>1.1931394481730053E-2</v>
      </c>
      <c r="C36" s="4">
        <v>8.2191780821917818E-3</v>
      </c>
      <c r="D36" s="4">
        <v>2.2071307300509338E-2</v>
      </c>
      <c r="E36" s="4">
        <v>1.6700259141952205E-2</v>
      </c>
    </row>
    <row r="37" spans="1:5" x14ac:dyDescent="0.35">
      <c r="A37" s="2">
        <v>34</v>
      </c>
      <c r="B37" s="4">
        <v>8.9485458612975407E-3</v>
      </c>
      <c r="C37" s="4">
        <v>1.0958904109589041E-2</v>
      </c>
      <c r="D37" s="4">
        <v>0</v>
      </c>
      <c r="E37" s="4">
        <v>4.6069680391592283E-3</v>
      </c>
    </row>
    <row r="38" spans="1:5" x14ac:dyDescent="0.35">
      <c r="A38" s="2">
        <v>35</v>
      </c>
      <c r="B38" s="4">
        <v>8.799403430275915E-2</v>
      </c>
      <c r="C38" s="4">
        <v>6.575342465753424E-2</v>
      </c>
      <c r="D38" s="4">
        <v>6.7911714770797962E-3</v>
      </c>
      <c r="E38" s="4">
        <v>4.434206737690758E-2</v>
      </c>
    </row>
    <row r="39" spans="1:5" x14ac:dyDescent="0.35">
      <c r="A39" s="2">
        <v>36</v>
      </c>
      <c r="B39" s="4">
        <v>0</v>
      </c>
      <c r="C39" s="4">
        <v>0</v>
      </c>
      <c r="D39" s="4">
        <v>0</v>
      </c>
      <c r="E39" s="4">
        <v>0</v>
      </c>
    </row>
    <row r="40" spans="1:5" x14ac:dyDescent="0.35">
      <c r="A40" s="2">
        <v>37</v>
      </c>
      <c r="B40" s="4">
        <v>0</v>
      </c>
      <c r="C40" s="4">
        <v>0</v>
      </c>
      <c r="D40" s="4">
        <v>0</v>
      </c>
      <c r="E40" s="4">
        <v>0</v>
      </c>
    </row>
    <row r="41" spans="1:5" x14ac:dyDescent="0.35">
      <c r="A41" s="2">
        <v>38</v>
      </c>
      <c r="B41" s="4">
        <v>1.7897091722595081E-2</v>
      </c>
      <c r="C41" s="4">
        <v>0</v>
      </c>
      <c r="D41" s="4">
        <v>0</v>
      </c>
      <c r="E41" s="4">
        <v>6.9104520587388437E-3</v>
      </c>
    </row>
    <row r="42" spans="1:5" x14ac:dyDescent="0.35">
      <c r="A42" s="2">
        <v>39</v>
      </c>
      <c r="B42" s="4">
        <v>0</v>
      </c>
      <c r="C42" s="4">
        <v>0</v>
      </c>
      <c r="D42" s="4">
        <v>0</v>
      </c>
      <c r="E42" s="4">
        <v>0</v>
      </c>
    </row>
    <row r="43" spans="1:5" x14ac:dyDescent="0.35">
      <c r="A43" s="2">
        <v>41</v>
      </c>
      <c r="B43" s="4">
        <v>7.6062639821029093E-2</v>
      </c>
      <c r="C43" s="4">
        <v>1.0958904109589041E-2</v>
      </c>
      <c r="D43" s="4">
        <v>1.3582342954159592E-2</v>
      </c>
      <c r="E43" s="4">
        <v>3.7431615318168736E-2</v>
      </c>
    </row>
    <row r="44" spans="1:5" x14ac:dyDescent="0.35">
      <c r="A44" s="2" t="s">
        <v>9</v>
      </c>
      <c r="B44" s="4">
        <v>1</v>
      </c>
      <c r="C44" s="4">
        <v>1</v>
      </c>
      <c r="D44" s="4">
        <v>1</v>
      </c>
      <c r="E44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629B-42D2-4B72-A126-61F7F30950BA}">
  <dimension ref="A1:K41"/>
  <sheetViews>
    <sheetView zoomScale="70" zoomScaleNormal="70" workbookViewId="0">
      <selection activeCell="K30" sqref="K30"/>
    </sheetView>
  </sheetViews>
  <sheetFormatPr defaultRowHeight="14.5" x14ac:dyDescent="0.35"/>
  <cols>
    <col min="1" max="1" width="9.54296875" customWidth="1"/>
    <col min="2" max="2" width="7.08984375" customWidth="1"/>
    <col min="3" max="3" width="9.36328125" customWidth="1"/>
    <col min="4" max="4" width="6.7265625" customWidth="1"/>
    <col min="5" max="5" width="9.1796875" customWidth="1"/>
    <col min="6" max="6" width="6.54296875" customWidth="1"/>
    <col min="7" max="7" width="9.7265625" customWidth="1"/>
    <col min="8" max="8" width="13.36328125" customWidth="1"/>
    <col min="9" max="9" width="8.54296875" customWidth="1"/>
  </cols>
  <sheetData>
    <row r="1" spans="1:11" x14ac:dyDescent="0.35">
      <c r="A1" s="3" t="s">
        <v>1</v>
      </c>
      <c r="B1" s="3">
        <v>2021</v>
      </c>
      <c r="C1" s="3" t="s">
        <v>11</v>
      </c>
      <c r="D1" s="3">
        <v>2022</v>
      </c>
      <c r="E1" s="3" t="s">
        <v>11</v>
      </c>
      <c r="F1" s="3">
        <v>2023</v>
      </c>
      <c r="G1" s="3" t="s">
        <v>11</v>
      </c>
      <c r="H1" s="3" t="s">
        <v>9</v>
      </c>
      <c r="I1" s="3" t="s">
        <v>11</v>
      </c>
    </row>
    <row r="2" spans="1:11" x14ac:dyDescent="0.35">
      <c r="A2" s="2">
        <v>39</v>
      </c>
      <c r="B2">
        <v>0.25</v>
      </c>
      <c r="C2" s="4">
        <v>1.4285714285714285E-2</v>
      </c>
      <c r="D2">
        <v>40.833333333333336</v>
      </c>
      <c r="E2" s="4">
        <v>0.13752455795677798</v>
      </c>
      <c r="F2">
        <v>4.5</v>
      </c>
      <c r="G2" s="4">
        <v>2.0657995409334357E-2</v>
      </c>
      <c r="H2">
        <v>45.583333333333336</v>
      </c>
      <c r="I2" s="4">
        <v>8.5642711758258966E-2</v>
      </c>
      <c r="K2" s="4">
        <f>SUM(I2:I8)</f>
        <v>0.51307343040551123</v>
      </c>
    </row>
    <row r="3" spans="1:11" x14ac:dyDescent="0.35">
      <c r="A3" s="2">
        <v>15</v>
      </c>
      <c r="B3">
        <v>1.3333333333333333</v>
      </c>
      <c r="C3" s="4">
        <v>7.6190476190476183E-2</v>
      </c>
      <c r="D3">
        <v>18.25</v>
      </c>
      <c r="E3" s="4">
        <v>6.1465057535784448E-2</v>
      </c>
      <c r="F3">
        <v>23.5</v>
      </c>
      <c r="G3" s="4">
        <v>0.10788064269319052</v>
      </c>
      <c r="H3">
        <v>43.083333333333329</v>
      </c>
      <c r="I3" s="4">
        <v>8.0945670894003438E-2</v>
      </c>
      <c r="K3" s="4">
        <f>SUM(I9:I25)</f>
        <v>0.40879912321903861</v>
      </c>
    </row>
    <row r="4" spans="1:11" x14ac:dyDescent="0.35">
      <c r="A4" s="2">
        <v>14</v>
      </c>
      <c r="B4">
        <v>0</v>
      </c>
      <c r="C4" s="4">
        <v>0</v>
      </c>
      <c r="D4">
        <v>39.75</v>
      </c>
      <c r="E4" s="4">
        <v>0.13387594723547572</v>
      </c>
      <c r="F4">
        <v>2</v>
      </c>
      <c r="G4" s="4">
        <v>9.181331293037491E-3</v>
      </c>
      <c r="H4">
        <v>41.75</v>
      </c>
      <c r="I4" s="4">
        <v>7.8440582433067174E-2</v>
      </c>
      <c r="K4" s="4">
        <f>SUM(I26:I40)</f>
        <v>7.8127446375450132E-2</v>
      </c>
    </row>
    <row r="5" spans="1:11" x14ac:dyDescent="0.35">
      <c r="A5" s="2">
        <v>33</v>
      </c>
      <c r="B5">
        <v>0.33333333333333331</v>
      </c>
      <c r="C5" s="4">
        <v>1.9047619047619046E-2</v>
      </c>
      <c r="D5">
        <v>27</v>
      </c>
      <c r="E5" s="4">
        <v>9.0934605669379734E-2</v>
      </c>
      <c r="F5">
        <v>11.25</v>
      </c>
      <c r="G5" s="4">
        <v>5.1644988523335891E-2</v>
      </c>
      <c r="H5">
        <v>38.583333333333329</v>
      </c>
      <c r="I5" s="4">
        <v>7.2490997338343507E-2</v>
      </c>
    </row>
    <row r="6" spans="1:11" x14ac:dyDescent="0.35">
      <c r="A6" s="2">
        <v>13</v>
      </c>
      <c r="B6">
        <v>0</v>
      </c>
      <c r="C6" s="4">
        <v>0</v>
      </c>
      <c r="D6">
        <v>6.333333333333333</v>
      </c>
      <c r="E6" s="4">
        <v>2.1330339601459442E-2</v>
      </c>
      <c r="F6">
        <v>32</v>
      </c>
      <c r="G6" s="4">
        <v>0.14690130068859986</v>
      </c>
      <c r="H6">
        <v>38.333333333333336</v>
      </c>
      <c r="I6" s="4">
        <v>7.2021293251917959E-2</v>
      </c>
    </row>
    <row r="7" spans="1:11" x14ac:dyDescent="0.35">
      <c r="A7" s="2">
        <v>22</v>
      </c>
      <c r="B7">
        <v>3.25</v>
      </c>
      <c r="C7" s="4">
        <v>0.18571428571428572</v>
      </c>
      <c r="D7">
        <v>8</v>
      </c>
      <c r="E7" s="4">
        <v>2.6943586865001402E-2</v>
      </c>
      <c r="F7">
        <v>25.666666666666668</v>
      </c>
      <c r="G7" s="4">
        <v>0.11782708492731447</v>
      </c>
      <c r="H7">
        <v>36.916666666666671</v>
      </c>
      <c r="I7" s="4">
        <v>6.9359636762173174E-2</v>
      </c>
    </row>
    <row r="8" spans="1:11" x14ac:dyDescent="0.35">
      <c r="A8" s="2">
        <v>4</v>
      </c>
      <c r="B8">
        <v>0.5</v>
      </c>
      <c r="C8" s="4">
        <v>2.8571428571428571E-2</v>
      </c>
      <c r="D8">
        <v>12.333333333333332</v>
      </c>
      <c r="E8" s="4">
        <v>4.1538029750210488E-2</v>
      </c>
      <c r="F8">
        <v>16</v>
      </c>
      <c r="G8" s="4">
        <v>7.3450650344299928E-2</v>
      </c>
      <c r="H8">
        <v>28.833333333333332</v>
      </c>
      <c r="I8" s="4">
        <v>5.4172537967746986E-2</v>
      </c>
    </row>
    <row r="9" spans="1:11" x14ac:dyDescent="0.35">
      <c r="A9" s="2">
        <v>1</v>
      </c>
      <c r="B9">
        <v>0.5</v>
      </c>
      <c r="C9" s="4">
        <v>2.8571428571428571E-2</v>
      </c>
      <c r="D9">
        <v>15.666666666666666</v>
      </c>
      <c r="E9" s="4">
        <v>5.276452427729441E-2</v>
      </c>
      <c r="F9">
        <v>9</v>
      </c>
      <c r="G9" s="4">
        <v>4.1315990818668713E-2</v>
      </c>
      <c r="H9">
        <v>25.166666666666664</v>
      </c>
      <c r="I9" s="4">
        <v>4.7283544700172223E-2</v>
      </c>
    </row>
    <row r="10" spans="1:11" x14ac:dyDescent="0.35">
      <c r="A10" s="2">
        <v>23</v>
      </c>
      <c r="B10">
        <v>0.75</v>
      </c>
      <c r="C10" s="4">
        <v>4.2857142857142858E-2</v>
      </c>
      <c r="D10">
        <v>3</v>
      </c>
      <c r="E10" s="4">
        <v>1.0103845074375525E-2</v>
      </c>
      <c r="F10">
        <v>18</v>
      </c>
      <c r="G10" s="4">
        <v>8.2631981637337426E-2</v>
      </c>
      <c r="H10">
        <v>21.75</v>
      </c>
      <c r="I10" s="4">
        <v>4.0864255519023014E-2</v>
      </c>
    </row>
    <row r="11" spans="1:11" x14ac:dyDescent="0.35">
      <c r="A11" s="2">
        <v>28</v>
      </c>
      <c r="B11">
        <v>0</v>
      </c>
      <c r="C11" s="4">
        <v>0</v>
      </c>
      <c r="D11">
        <v>13.25</v>
      </c>
      <c r="E11" s="4">
        <v>4.4625315745158572E-2</v>
      </c>
      <c r="F11">
        <v>6.5</v>
      </c>
      <c r="G11" s="4">
        <v>2.9839326702371848E-2</v>
      </c>
      <c r="H11">
        <v>19.75</v>
      </c>
      <c r="I11" s="4">
        <v>3.7106622827618597E-2</v>
      </c>
    </row>
    <row r="12" spans="1:11" x14ac:dyDescent="0.35">
      <c r="A12" s="2">
        <v>41</v>
      </c>
      <c r="B12">
        <v>1</v>
      </c>
      <c r="C12" s="4">
        <v>5.7142857142857141E-2</v>
      </c>
      <c r="D12">
        <v>6</v>
      </c>
      <c r="E12" s="4">
        <v>2.020769014875105E-2</v>
      </c>
      <c r="F12">
        <v>10</v>
      </c>
      <c r="G12" s="4">
        <v>4.5906656465187455E-2</v>
      </c>
      <c r="H12">
        <v>17</v>
      </c>
      <c r="I12" s="4">
        <v>3.1939877876937528E-2</v>
      </c>
    </row>
    <row r="13" spans="1:11" x14ac:dyDescent="0.35">
      <c r="A13" s="2">
        <v>19</v>
      </c>
      <c r="B13">
        <v>0</v>
      </c>
      <c r="C13" s="4">
        <v>0</v>
      </c>
      <c r="D13">
        <v>13.5</v>
      </c>
      <c r="E13" s="4">
        <v>4.5467302834689867E-2</v>
      </c>
      <c r="F13">
        <v>3</v>
      </c>
      <c r="G13" s="4">
        <v>1.3771996939556237E-2</v>
      </c>
      <c r="H13">
        <v>16.5</v>
      </c>
      <c r="I13" s="4">
        <v>3.1000469704086424E-2</v>
      </c>
    </row>
    <row r="14" spans="1:11" x14ac:dyDescent="0.35">
      <c r="A14" s="2">
        <v>21</v>
      </c>
      <c r="B14">
        <v>0.5</v>
      </c>
      <c r="C14" s="4">
        <v>2.8571428571428571E-2</v>
      </c>
      <c r="D14">
        <v>3.6666666666666665</v>
      </c>
      <c r="E14" s="4">
        <v>1.2349143979792308E-2</v>
      </c>
      <c r="F14">
        <v>12</v>
      </c>
      <c r="G14" s="4">
        <v>5.5087987758224946E-2</v>
      </c>
      <c r="H14">
        <v>16.166666666666664</v>
      </c>
      <c r="I14" s="4">
        <v>3.0374197588852351E-2</v>
      </c>
    </row>
    <row r="15" spans="1:11" x14ac:dyDescent="0.35">
      <c r="A15" s="2">
        <v>25</v>
      </c>
      <c r="B15">
        <v>0.75</v>
      </c>
      <c r="C15" s="4">
        <v>4.2857142857142858E-2</v>
      </c>
      <c r="D15">
        <v>6.75</v>
      </c>
      <c r="E15" s="4">
        <v>2.2733651417344933E-2</v>
      </c>
      <c r="F15">
        <v>8</v>
      </c>
      <c r="G15" s="4">
        <v>3.6725325172149964E-2</v>
      </c>
      <c r="H15">
        <v>15.5</v>
      </c>
      <c r="I15" s="4">
        <v>2.9121653358384219E-2</v>
      </c>
    </row>
    <row r="16" spans="1:11" x14ac:dyDescent="0.35">
      <c r="A16" s="2">
        <v>31</v>
      </c>
      <c r="B16">
        <v>0.5</v>
      </c>
      <c r="C16" s="4">
        <v>2.8571428571428571E-2</v>
      </c>
      <c r="D16">
        <v>10.75</v>
      </c>
      <c r="E16" s="4">
        <v>3.6205444849845635E-2</v>
      </c>
      <c r="F16">
        <v>3.5</v>
      </c>
      <c r="G16" s="4">
        <v>1.6067329762815611E-2</v>
      </c>
      <c r="H16">
        <v>14.75</v>
      </c>
      <c r="I16" s="4">
        <v>2.7712541099107563E-2</v>
      </c>
    </row>
    <row r="17" spans="1:9" x14ac:dyDescent="0.35">
      <c r="A17" s="2">
        <v>26</v>
      </c>
      <c r="B17">
        <v>0.25</v>
      </c>
      <c r="C17" s="4">
        <v>1.4285714285714285E-2</v>
      </c>
      <c r="D17">
        <v>4.25</v>
      </c>
      <c r="E17" s="4">
        <v>1.4313780522031994E-2</v>
      </c>
      <c r="F17">
        <v>6.25</v>
      </c>
      <c r="G17" s="4">
        <v>2.869166029074216E-2</v>
      </c>
      <c r="H17">
        <v>10.75</v>
      </c>
      <c r="I17" s="4">
        <v>2.0197275716298733E-2</v>
      </c>
    </row>
    <row r="18" spans="1:9" x14ac:dyDescent="0.35">
      <c r="A18" s="2">
        <v>30</v>
      </c>
      <c r="B18">
        <v>1.25</v>
      </c>
      <c r="C18" s="4">
        <v>7.1428571428571425E-2</v>
      </c>
      <c r="D18">
        <v>8.75</v>
      </c>
      <c r="E18" s="4">
        <v>2.9469548133595282E-2</v>
      </c>
      <c r="F18">
        <v>0</v>
      </c>
      <c r="G18" s="4">
        <v>0</v>
      </c>
      <c r="H18">
        <v>10</v>
      </c>
      <c r="I18" s="4">
        <v>1.8788163457022077E-2</v>
      </c>
    </row>
    <row r="19" spans="1:9" x14ac:dyDescent="0.35">
      <c r="A19" s="2">
        <v>37</v>
      </c>
      <c r="B19">
        <v>0</v>
      </c>
      <c r="C19" s="4">
        <v>0</v>
      </c>
      <c r="D19">
        <v>0</v>
      </c>
      <c r="E19" s="4">
        <v>0</v>
      </c>
      <c r="F19">
        <v>9</v>
      </c>
      <c r="G19" s="4">
        <v>4.1315990818668713E-2</v>
      </c>
      <c r="H19">
        <v>9</v>
      </c>
      <c r="I19" s="4">
        <v>1.6909347111319868E-2</v>
      </c>
    </row>
    <row r="20" spans="1:9" x14ac:dyDescent="0.35">
      <c r="A20" s="2">
        <v>38</v>
      </c>
      <c r="B20">
        <v>0</v>
      </c>
      <c r="C20" s="4">
        <v>0</v>
      </c>
      <c r="D20">
        <v>8.3333333333333339</v>
      </c>
      <c r="E20" s="4">
        <v>2.8066236317709794E-2</v>
      </c>
      <c r="F20">
        <v>0.5</v>
      </c>
      <c r="G20" s="4">
        <v>2.2953328232593728E-3</v>
      </c>
      <c r="H20">
        <v>8.8333333333333339</v>
      </c>
      <c r="I20" s="4">
        <v>1.6596211053702833E-2</v>
      </c>
    </row>
    <row r="21" spans="1:9" x14ac:dyDescent="0.35">
      <c r="A21" s="2">
        <v>8</v>
      </c>
      <c r="B21">
        <v>0.5</v>
      </c>
      <c r="C21" s="4">
        <v>2.8571428571428571E-2</v>
      </c>
      <c r="D21">
        <v>0.5</v>
      </c>
      <c r="E21" s="4">
        <v>1.6839741790625876E-3</v>
      </c>
      <c r="F21">
        <v>6.5</v>
      </c>
      <c r="G21" s="4">
        <v>2.9839326702371848E-2</v>
      </c>
      <c r="H21">
        <v>7.5</v>
      </c>
      <c r="I21" s="4">
        <v>1.4091122592766557E-2</v>
      </c>
    </row>
    <row r="22" spans="1:9" x14ac:dyDescent="0.35">
      <c r="A22" s="2">
        <v>34</v>
      </c>
      <c r="B22">
        <v>0</v>
      </c>
      <c r="C22" s="4">
        <v>0</v>
      </c>
      <c r="D22">
        <v>7.3333333333333339</v>
      </c>
      <c r="E22" s="4">
        <v>2.4698287959584619E-2</v>
      </c>
      <c r="F22" t="s">
        <v>12</v>
      </c>
      <c r="G22" s="4">
        <v>0</v>
      </c>
      <c r="H22">
        <v>7.3333333333333339</v>
      </c>
      <c r="I22" s="4">
        <v>1.3777986535149524E-2</v>
      </c>
    </row>
    <row r="23" spans="1:9" x14ac:dyDescent="0.35">
      <c r="A23" s="2">
        <v>12</v>
      </c>
      <c r="B23">
        <v>0</v>
      </c>
      <c r="C23" s="4">
        <v>0</v>
      </c>
      <c r="D23">
        <v>5.75</v>
      </c>
      <c r="E23" s="4">
        <v>1.9365703059219759E-2</v>
      </c>
      <c r="F23">
        <v>0.5</v>
      </c>
      <c r="G23" s="4">
        <v>2.2953328232593728E-3</v>
      </c>
      <c r="H23">
        <v>6.25</v>
      </c>
      <c r="I23" s="4">
        <v>1.1742602160638797E-2</v>
      </c>
    </row>
    <row r="24" spans="1:9" x14ac:dyDescent="0.35">
      <c r="A24" s="2">
        <v>17</v>
      </c>
      <c r="B24">
        <v>1.25</v>
      </c>
      <c r="C24" s="4">
        <v>7.1428571428571425E-2</v>
      </c>
      <c r="D24">
        <v>3.75</v>
      </c>
      <c r="E24" s="4">
        <v>1.2629806342969407E-2</v>
      </c>
      <c r="F24">
        <v>1</v>
      </c>
      <c r="G24" s="4">
        <v>4.5906656465187455E-3</v>
      </c>
      <c r="H24">
        <v>6</v>
      </c>
      <c r="I24" s="4">
        <v>1.1272898074213245E-2</v>
      </c>
    </row>
    <row r="25" spans="1:9" x14ac:dyDescent="0.35">
      <c r="A25" s="2">
        <v>5</v>
      </c>
      <c r="B25">
        <v>0</v>
      </c>
      <c r="C25" s="4">
        <v>0</v>
      </c>
      <c r="D25">
        <v>2.3333333333333335</v>
      </c>
      <c r="E25" s="4">
        <v>7.8585461689587421E-3</v>
      </c>
      <c r="F25">
        <v>3</v>
      </c>
      <c r="G25" s="4">
        <v>1.3771996939556237E-2</v>
      </c>
      <c r="H25">
        <v>5.3333333333333339</v>
      </c>
      <c r="I25" s="4">
        <v>1.0020353843745108E-2</v>
      </c>
    </row>
    <row r="26" spans="1:9" x14ac:dyDescent="0.35">
      <c r="A26" s="2">
        <v>29</v>
      </c>
      <c r="B26">
        <v>0.25</v>
      </c>
      <c r="C26" s="4">
        <v>1.4285714285714285E-2</v>
      </c>
      <c r="D26">
        <v>4.5</v>
      </c>
      <c r="E26" s="4">
        <v>1.5155767611563288E-2</v>
      </c>
      <c r="F26">
        <v>0.5</v>
      </c>
      <c r="G26" s="4">
        <v>2.2953328232593728E-3</v>
      </c>
      <c r="H26">
        <v>5.25</v>
      </c>
      <c r="I26" s="4">
        <v>9.8637858149365903E-3</v>
      </c>
    </row>
    <row r="27" spans="1:9" x14ac:dyDescent="0.35">
      <c r="A27" s="2">
        <v>11</v>
      </c>
      <c r="B27">
        <v>0.25</v>
      </c>
      <c r="C27" s="4">
        <v>1.4285714285714285E-2</v>
      </c>
      <c r="D27">
        <v>4</v>
      </c>
      <c r="E27" s="4">
        <v>1.3471793432500701E-2</v>
      </c>
      <c r="F27">
        <v>0.5</v>
      </c>
      <c r="G27" s="4">
        <v>2.2953328232593728E-3</v>
      </c>
      <c r="H27">
        <v>4.75</v>
      </c>
      <c r="I27" s="4">
        <v>8.9243776420854862E-3</v>
      </c>
    </row>
    <row r="28" spans="1:9" x14ac:dyDescent="0.35">
      <c r="A28" s="2">
        <v>16</v>
      </c>
      <c r="B28">
        <v>0</v>
      </c>
      <c r="C28" s="4">
        <v>0</v>
      </c>
      <c r="D28">
        <v>4.75</v>
      </c>
      <c r="E28" s="4">
        <v>1.5997754701094581E-2</v>
      </c>
      <c r="F28">
        <v>0</v>
      </c>
      <c r="G28" s="4">
        <v>0</v>
      </c>
      <c r="H28">
        <v>4.75</v>
      </c>
      <c r="I28" s="4">
        <v>8.9243776420854862E-3</v>
      </c>
    </row>
    <row r="29" spans="1:9" x14ac:dyDescent="0.35">
      <c r="A29" s="2">
        <v>3</v>
      </c>
      <c r="B29">
        <v>0.25</v>
      </c>
      <c r="C29" s="4">
        <v>1.4285714285714285E-2</v>
      </c>
      <c r="D29">
        <v>4</v>
      </c>
      <c r="E29" s="4">
        <v>1.3471793432500701E-2</v>
      </c>
      <c r="F29" t="s">
        <v>12</v>
      </c>
      <c r="G29" s="4">
        <v>0</v>
      </c>
      <c r="H29">
        <v>4.25</v>
      </c>
      <c r="I29" s="4">
        <v>7.984969469234382E-3</v>
      </c>
    </row>
    <row r="30" spans="1:9" x14ac:dyDescent="0.35">
      <c r="A30" s="2">
        <v>2</v>
      </c>
      <c r="B30">
        <v>0.25</v>
      </c>
      <c r="C30" s="4">
        <v>1.4285714285714285E-2</v>
      </c>
      <c r="D30">
        <v>1.25</v>
      </c>
      <c r="E30" s="4">
        <v>4.2099354476564689E-3</v>
      </c>
      <c r="F30">
        <v>2.5</v>
      </c>
      <c r="G30" s="4">
        <v>1.1476664116296864E-2</v>
      </c>
      <c r="H30">
        <v>4</v>
      </c>
      <c r="I30" s="4">
        <v>7.5152653828088308E-3</v>
      </c>
    </row>
    <row r="31" spans="1:9" x14ac:dyDescent="0.35">
      <c r="A31" s="2">
        <v>20</v>
      </c>
      <c r="B31">
        <v>1</v>
      </c>
      <c r="C31" s="4">
        <v>5.7142857142857141E-2</v>
      </c>
      <c r="D31">
        <v>2</v>
      </c>
      <c r="E31" s="4">
        <v>6.7358967162503506E-3</v>
      </c>
      <c r="F31">
        <v>1</v>
      </c>
      <c r="G31" s="4">
        <v>4.5906656465187455E-3</v>
      </c>
      <c r="H31">
        <v>4</v>
      </c>
      <c r="I31" s="4">
        <v>7.5152653828088308E-3</v>
      </c>
    </row>
    <row r="32" spans="1:9" x14ac:dyDescent="0.35">
      <c r="A32" s="2">
        <v>35</v>
      </c>
      <c r="B32">
        <v>1.0833333333333333</v>
      </c>
      <c r="C32" s="4">
        <v>6.19047619047619E-2</v>
      </c>
      <c r="D32">
        <v>2.3333333333333335</v>
      </c>
      <c r="E32" s="4">
        <v>7.8585461689587421E-3</v>
      </c>
      <c r="F32">
        <v>0</v>
      </c>
      <c r="G32" s="4">
        <v>0</v>
      </c>
      <c r="H32">
        <v>3.416666666666667</v>
      </c>
      <c r="I32" s="4">
        <v>6.4192891811492101E-3</v>
      </c>
    </row>
    <row r="33" spans="1:9" x14ac:dyDescent="0.35">
      <c r="A33" s="2">
        <v>24</v>
      </c>
      <c r="B33">
        <v>0</v>
      </c>
      <c r="C33" s="4">
        <v>0</v>
      </c>
      <c r="D33">
        <v>3.333333333333333</v>
      </c>
      <c r="E33" s="4">
        <v>1.1226494527083916E-2</v>
      </c>
      <c r="F33">
        <v>0</v>
      </c>
      <c r="G33" s="4">
        <v>0</v>
      </c>
      <c r="H33">
        <v>3.333333333333333</v>
      </c>
      <c r="I33" s="4">
        <v>6.2627211523406919E-3</v>
      </c>
    </row>
    <row r="34" spans="1:9" x14ac:dyDescent="0.35">
      <c r="A34" s="2">
        <v>36</v>
      </c>
      <c r="B34">
        <v>0</v>
      </c>
      <c r="C34" s="4">
        <v>0</v>
      </c>
      <c r="D34">
        <v>3</v>
      </c>
      <c r="E34" s="4">
        <v>1.0103845074375525E-2</v>
      </c>
      <c r="F34" t="s">
        <v>12</v>
      </c>
      <c r="G34" s="4">
        <v>0</v>
      </c>
      <c r="H34">
        <v>3</v>
      </c>
      <c r="I34" s="4">
        <v>5.6364490371066224E-3</v>
      </c>
    </row>
    <row r="35" spans="1:9" x14ac:dyDescent="0.35">
      <c r="A35" s="2">
        <v>18</v>
      </c>
      <c r="B35">
        <v>1</v>
      </c>
      <c r="C35" s="4">
        <v>5.7142857142857141E-2</v>
      </c>
      <c r="D35">
        <v>0.33333333333333331</v>
      </c>
      <c r="E35" s="4">
        <v>1.1226494527083917E-3</v>
      </c>
      <c r="F35">
        <v>1</v>
      </c>
      <c r="G35" s="4">
        <v>4.5906656465187455E-3</v>
      </c>
      <c r="H35">
        <v>2.333333333333333</v>
      </c>
      <c r="I35" s="4">
        <v>4.3839048066384835E-3</v>
      </c>
    </row>
    <row r="36" spans="1:9" x14ac:dyDescent="0.35">
      <c r="A36" s="2">
        <v>27</v>
      </c>
      <c r="B36">
        <v>0.5</v>
      </c>
      <c r="C36" s="4">
        <v>2.8571428571428571E-2</v>
      </c>
      <c r="D36">
        <v>0.33333333333333331</v>
      </c>
      <c r="E36" s="4">
        <v>1.1226494527083917E-3</v>
      </c>
      <c r="F36">
        <v>0.66666666666666663</v>
      </c>
      <c r="G36" s="4">
        <v>3.06044376434583E-3</v>
      </c>
      <c r="H36">
        <v>1.5</v>
      </c>
      <c r="I36" s="4">
        <v>2.8182245185533112E-3</v>
      </c>
    </row>
    <row r="37" spans="1:9" x14ac:dyDescent="0.35">
      <c r="A37" s="2">
        <v>9</v>
      </c>
      <c r="B37">
        <v>0</v>
      </c>
      <c r="C37" s="4">
        <v>0</v>
      </c>
      <c r="D37">
        <v>1</v>
      </c>
      <c r="E37" s="4">
        <v>3.3679483581251753E-3</v>
      </c>
      <c r="F37">
        <v>0</v>
      </c>
      <c r="G37" s="4">
        <v>0</v>
      </c>
      <c r="H37">
        <v>1</v>
      </c>
      <c r="I37" s="4">
        <v>1.8788163457022077E-3</v>
      </c>
    </row>
    <row r="38" spans="1:9" x14ac:dyDescent="0.35">
      <c r="A38" s="2">
        <v>6</v>
      </c>
      <c r="B38">
        <v>0</v>
      </c>
      <c r="C38" s="4">
        <v>0</v>
      </c>
      <c r="D38">
        <v>0</v>
      </c>
      <c r="E38" s="4">
        <v>0</v>
      </c>
      <c r="F38" t="s">
        <v>12</v>
      </c>
      <c r="G38" s="4">
        <v>0</v>
      </c>
      <c r="H38">
        <v>0</v>
      </c>
      <c r="I38" s="4">
        <v>0</v>
      </c>
    </row>
    <row r="39" spans="1:9" x14ac:dyDescent="0.35">
      <c r="A39" s="2">
        <v>7</v>
      </c>
      <c r="B39">
        <v>0</v>
      </c>
      <c r="C39" s="4">
        <v>0</v>
      </c>
      <c r="D39">
        <v>0</v>
      </c>
      <c r="E39" s="4">
        <v>0</v>
      </c>
      <c r="F39">
        <v>0</v>
      </c>
      <c r="G39" s="4">
        <v>0</v>
      </c>
      <c r="H39">
        <v>0</v>
      </c>
      <c r="I39" s="4">
        <v>0</v>
      </c>
    </row>
    <row r="40" spans="1:9" x14ac:dyDescent="0.35">
      <c r="A40" s="6">
        <v>32</v>
      </c>
      <c r="B40" s="8">
        <v>0</v>
      </c>
      <c r="C40" s="4">
        <v>0</v>
      </c>
      <c r="D40" s="8">
        <v>0</v>
      </c>
      <c r="E40" s="4">
        <v>0</v>
      </c>
      <c r="F40" s="8" t="s">
        <v>12</v>
      </c>
      <c r="G40" s="4">
        <v>0</v>
      </c>
      <c r="H40" s="8">
        <v>0</v>
      </c>
      <c r="I40" s="4">
        <v>0</v>
      </c>
    </row>
    <row r="41" spans="1:9" x14ac:dyDescent="0.35">
      <c r="A41" s="5" t="s">
        <v>9</v>
      </c>
      <c r="B41" s="7">
        <v>17.5</v>
      </c>
      <c r="C41" s="9">
        <f>SUM(C2:C40)</f>
        <v>0.99999999999999978</v>
      </c>
      <c r="D41" s="7">
        <v>296.91666666666669</v>
      </c>
      <c r="E41" s="9">
        <f>SUM(E1:E1)</f>
        <v>0</v>
      </c>
      <c r="F41" s="7">
        <v>217.83333333333331</v>
      </c>
      <c r="G41" s="9">
        <f>SUM(G1:G1)</f>
        <v>0</v>
      </c>
      <c r="H41" s="7">
        <v>532.25</v>
      </c>
      <c r="I41" s="9">
        <f>SUM(I1:I1)</f>
        <v>0</v>
      </c>
    </row>
  </sheetData>
  <sortState xmlns:xlrd2="http://schemas.microsoft.com/office/spreadsheetml/2017/richdata2" ref="A2:I40">
    <sortCondition descending="1" ref="H2:H40"/>
  </sortState>
  <conditionalFormatting sqref="C2:C40 E2:E40 G2:G40 I2:I40">
    <cfRule type="cellIs" dxfId="11" priority="10" operator="lessThan">
      <formula>0.01</formula>
    </cfRule>
    <cfRule type="cellIs" dxfId="10" priority="11" operator="between">
      <formula>0.01</formula>
      <formula>0.05</formula>
    </cfRule>
    <cfRule type="cellIs" dxfId="9" priority="12" operator="greaterThan">
      <formula>0.0499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F2093-CA60-434E-9293-115BB0F0C7D2}">
  <dimension ref="A1:K41"/>
  <sheetViews>
    <sheetView tabSelected="1" zoomScale="70" zoomScaleNormal="70" workbookViewId="0">
      <selection activeCell="P19" sqref="P19"/>
    </sheetView>
  </sheetViews>
  <sheetFormatPr defaultRowHeight="14.5" x14ac:dyDescent="0.35"/>
  <sheetData>
    <row r="1" spans="1:11" x14ac:dyDescent="0.35">
      <c r="A1" s="3" t="s">
        <v>1</v>
      </c>
      <c r="B1" s="3">
        <v>2021</v>
      </c>
      <c r="C1" s="3" t="s">
        <v>11</v>
      </c>
      <c r="D1" s="3">
        <v>2022</v>
      </c>
      <c r="E1" s="3" t="s">
        <v>11</v>
      </c>
      <c r="F1" s="3">
        <v>2023</v>
      </c>
      <c r="G1" s="3" t="s">
        <v>11</v>
      </c>
      <c r="H1" s="3" t="s">
        <v>9</v>
      </c>
      <c r="I1" s="3" t="s">
        <v>11</v>
      </c>
    </row>
    <row r="2" spans="1:11" x14ac:dyDescent="0.35">
      <c r="A2" s="2">
        <v>1</v>
      </c>
      <c r="B2">
        <v>0.75</v>
      </c>
      <c r="C2" s="4">
        <v>3.7656903765690378E-2</v>
      </c>
      <c r="D2">
        <v>22.833333333333336</v>
      </c>
      <c r="E2" s="4">
        <v>8.1089079609351883E-2</v>
      </c>
      <c r="F2">
        <v>29</v>
      </c>
      <c r="G2" s="4">
        <v>9.5159967186218206E-2</v>
      </c>
      <c r="H2">
        <v>52.583333333333336</v>
      </c>
      <c r="I2" s="4">
        <v>8.6735395189003459E-2</v>
      </c>
      <c r="K2" s="4">
        <f>SUM(I2:I6)</f>
        <v>0.34213058419243997</v>
      </c>
    </row>
    <row r="3" spans="1:11" x14ac:dyDescent="0.35">
      <c r="A3" s="2">
        <v>14</v>
      </c>
      <c r="B3">
        <v>0</v>
      </c>
      <c r="C3" s="4">
        <v>0</v>
      </c>
      <c r="D3">
        <v>31.5</v>
      </c>
      <c r="E3" s="4">
        <v>0.11186741639538324</v>
      </c>
      <c r="F3">
        <v>8.5</v>
      </c>
      <c r="G3" s="4">
        <v>2.7891714520098441E-2</v>
      </c>
      <c r="H3">
        <v>40</v>
      </c>
      <c r="I3" s="4">
        <v>6.5979381443298984E-2</v>
      </c>
      <c r="K3" s="4">
        <f>SUM(I7:I29)</f>
        <v>0.61223367697594511</v>
      </c>
    </row>
    <row r="4" spans="1:11" x14ac:dyDescent="0.35">
      <c r="A4" s="2">
        <v>41</v>
      </c>
      <c r="B4">
        <v>0.75</v>
      </c>
      <c r="C4" s="4">
        <v>3.7656903765690378E-2</v>
      </c>
      <c r="D4">
        <v>3.333333333333333</v>
      </c>
      <c r="E4" s="4">
        <v>1.1837821840781294E-2</v>
      </c>
      <c r="F4">
        <v>35</v>
      </c>
      <c r="G4" s="4">
        <v>0.11484823625922888</v>
      </c>
      <c r="H4">
        <v>39.083333333333336</v>
      </c>
      <c r="I4" s="4">
        <v>6.4467353951890044E-2</v>
      </c>
      <c r="K4" s="4">
        <f>SUM(I30:I40)</f>
        <v>4.5635738831615133E-2</v>
      </c>
    </row>
    <row r="5" spans="1:11" x14ac:dyDescent="0.35">
      <c r="A5" s="2">
        <v>21</v>
      </c>
      <c r="B5">
        <v>1</v>
      </c>
      <c r="C5" s="4">
        <v>5.0209205020920508E-2</v>
      </c>
      <c r="D5">
        <v>5</v>
      </c>
      <c r="E5" s="4">
        <v>1.7756732761171942E-2</v>
      </c>
      <c r="F5">
        <v>32</v>
      </c>
      <c r="G5" s="4">
        <v>0.10500410172272355</v>
      </c>
      <c r="H5">
        <v>38</v>
      </c>
      <c r="I5" s="4">
        <v>6.2680412371134031E-2</v>
      </c>
    </row>
    <row r="6" spans="1:11" x14ac:dyDescent="0.35">
      <c r="A6" s="2">
        <v>19</v>
      </c>
      <c r="B6">
        <v>0.5</v>
      </c>
      <c r="C6" s="4">
        <v>2.5104602510460254E-2</v>
      </c>
      <c r="D6">
        <v>26.25</v>
      </c>
      <c r="E6" s="4">
        <v>9.32228469961527E-2</v>
      </c>
      <c r="F6">
        <v>11</v>
      </c>
      <c r="G6" s="4">
        <v>3.6095159967186222E-2</v>
      </c>
      <c r="H6">
        <v>37.75</v>
      </c>
      <c r="I6" s="4">
        <v>6.2268041237113415E-2</v>
      </c>
    </row>
    <row r="7" spans="1:11" x14ac:dyDescent="0.35">
      <c r="A7" s="2">
        <v>24</v>
      </c>
      <c r="B7">
        <v>1.3333333333333333</v>
      </c>
      <c r="C7" s="4">
        <v>6.6945606694560678E-2</v>
      </c>
      <c r="D7">
        <v>25</v>
      </c>
      <c r="E7" s="4">
        <v>8.8783663805859711E-2</v>
      </c>
      <c r="F7">
        <v>2</v>
      </c>
      <c r="G7" s="4">
        <v>6.5627563576702219E-3</v>
      </c>
      <c r="H7">
        <v>28.333333333333332</v>
      </c>
      <c r="I7" s="4">
        <v>4.6735395189003444E-2</v>
      </c>
    </row>
    <row r="8" spans="1:11" x14ac:dyDescent="0.35">
      <c r="A8" s="2">
        <v>23</v>
      </c>
      <c r="B8">
        <v>0.25</v>
      </c>
      <c r="C8" s="4">
        <v>1.2552301255230127E-2</v>
      </c>
      <c r="D8">
        <v>4.25</v>
      </c>
      <c r="E8" s="4">
        <v>1.509322284699615E-2</v>
      </c>
      <c r="F8">
        <v>22.333333333333332</v>
      </c>
      <c r="G8" s="4">
        <v>7.3284112660650796E-2</v>
      </c>
      <c r="H8">
        <v>26.833333333333332</v>
      </c>
      <c r="I8" s="4">
        <v>4.4261168384879729E-2</v>
      </c>
    </row>
    <row r="9" spans="1:11" x14ac:dyDescent="0.35">
      <c r="A9" s="2">
        <v>22</v>
      </c>
      <c r="B9">
        <v>2.75</v>
      </c>
      <c r="C9" s="4">
        <v>0.13807531380753141</v>
      </c>
      <c r="D9">
        <v>8.25</v>
      </c>
      <c r="E9" s="4">
        <v>2.9298609055933705E-2</v>
      </c>
      <c r="F9">
        <v>15.666666666666666</v>
      </c>
      <c r="G9" s="4">
        <v>5.1408258135083401E-2</v>
      </c>
      <c r="H9">
        <v>26.666666666666664</v>
      </c>
      <c r="I9" s="4">
        <v>4.3986254295532649E-2</v>
      </c>
    </row>
    <row r="10" spans="1:11" x14ac:dyDescent="0.35">
      <c r="A10" s="2">
        <v>20</v>
      </c>
      <c r="B10">
        <v>0.5</v>
      </c>
      <c r="C10" s="4">
        <v>2.5104602510460254E-2</v>
      </c>
      <c r="D10">
        <v>7</v>
      </c>
      <c r="E10" s="4">
        <v>2.485942586564072E-2</v>
      </c>
      <c r="F10">
        <v>17</v>
      </c>
      <c r="G10" s="4">
        <v>5.5783429040196883E-2</v>
      </c>
      <c r="H10">
        <v>24.5</v>
      </c>
      <c r="I10" s="4">
        <v>4.0412371134020623E-2</v>
      </c>
    </row>
    <row r="11" spans="1:11" x14ac:dyDescent="0.35">
      <c r="A11" s="2">
        <v>15</v>
      </c>
      <c r="B11">
        <v>0.58333333333333326</v>
      </c>
      <c r="C11" s="4">
        <v>2.9288702928870293E-2</v>
      </c>
      <c r="D11">
        <v>6.25</v>
      </c>
      <c r="E11" s="4">
        <v>2.2195915951464928E-2</v>
      </c>
      <c r="F11">
        <v>17.5</v>
      </c>
      <c r="G11" s="4">
        <v>5.742411812961444E-2</v>
      </c>
      <c r="H11">
        <v>24.333333333333332</v>
      </c>
      <c r="I11" s="4">
        <v>4.0137457044673544E-2</v>
      </c>
    </row>
    <row r="12" spans="1:11" x14ac:dyDescent="0.35">
      <c r="A12" s="2">
        <v>33</v>
      </c>
      <c r="B12">
        <v>0</v>
      </c>
      <c r="C12" s="4">
        <v>0</v>
      </c>
      <c r="D12">
        <v>14.25</v>
      </c>
      <c r="E12" s="4">
        <v>5.0606688369340035E-2</v>
      </c>
      <c r="F12">
        <v>9.5</v>
      </c>
      <c r="G12" s="4">
        <v>3.1173092698933553E-2</v>
      </c>
      <c r="H12">
        <v>23.75</v>
      </c>
      <c r="I12" s="4">
        <v>3.9175257731958769E-2</v>
      </c>
    </row>
    <row r="13" spans="1:11" x14ac:dyDescent="0.35">
      <c r="A13" s="2">
        <v>25</v>
      </c>
      <c r="B13">
        <v>2.25</v>
      </c>
      <c r="C13" s="4">
        <v>0.11297071129707115</v>
      </c>
      <c r="D13">
        <v>9.75</v>
      </c>
      <c r="E13" s="4">
        <v>3.4625628884285289E-2</v>
      </c>
      <c r="F13">
        <v>8.6666666666666661</v>
      </c>
      <c r="G13" s="4">
        <v>2.8438610883237625E-2</v>
      </c>
      <c r="H13">
        <v>20.666666666666664</v>
      </c>
      <c r="I13" s="4">
        <v>3.4089347079037803E-2</v>
      </c>
    </row>
    <row r="14" spans="1:11" x14ac:dyDescent="0.35">
      <c r="A14" s="2">
        <v>12</v>
      </c>
      <c r="B14">
        <v>0.25</v>
      </c>
      <c r="C14" s="4">
        <v>1.2552301255230127E-2</v>
      </c>
      <c r="D14">
        <v>6.5</v>
      </c>
      <c r="E14" s="4">
        <v>2.3083752589523526E-2</v>
      </c>
      <c r="F14">
        <v>13.5</v>
      </c>
      <c r="G14" s="4">
        <v>4.4298605414273995E-2</v>
      </c>
      <c r="H14">
        <v>20.25</v>
      </c>
      <c r="I14" s="4">
        <v>3.3402061855670108E-2</v>
      </c>
    </row>
    <row r="15" spans="1:11" x14ac:dyDescent="0.35">
      <c r="A15" s="2">
        <v>4</v>
      </c>
      <c r="B15">
        <v>0.25</v>
      </c>
      <c r="C15" s="4">
        <v>1.2552301255230127E-2</v>
      </c>
      <c r="D15">
        <v>12.833333333333334</v>
      </c>
      <c r="E15" s="4">
        <v>4.5575614087007985E-2</v>
      </c>
      <c r="F15">
        <v>4</v>
      </c>
      <c r="G15" s="4">
        <v>1.3125512715340444E-2</v>
      </c>
      <c r="H15">
        <v>17.083333333333336</v>
      </c>
      <c r="I15" s="4">
        <v>2.8178694158075612E-2</v>
      </c>
    </row>
    <row r="16" spans="1:11" x14ac:dyDescent="0.35">
      <c r="A16" s="2">
        <v>26</v>
      </c>
      <c r="B16">
        <v>0</v>
      </c>
      <c r="C16" s="4">
        <v>0</v>
      </c>
      <c r="D16">
        <v>3.5</v>
      </c>
      <c r="E16" s="4">
        <v>1.242971293282036E-2</v>
      </c>
      <c r="F16">
        <v>13.5</v>
      </c>
      <c r="G16" s="4">
        <v>4.4298605414273995E-2</v>
      </c>
      <c r="H16">
        <v>17</v>
      </c>
      <c r="I16" s="4">
        <v>2.8041237113402066E-2</v>
      </c>
    </row>
    <row r="17" spans="1:9" x14ac:dyDescent="0.35">
      <c r="A17" s="2">
        <v>38</v>
      </c>
      <c r="B17">
        <v>0</v>
      </c>
      <c r="C17" s="4">
        <v>0</v>
      </c>
      <c r="D17">
        <v>12</v>
      </c>
      <c r="E17" s="4">
        <v>4.2616158626812659E-2</v>
      </c>
      <c r="F17">
        <v>4</v>
      </c>
      <c r="G17" s="4">
        <v>1.3125512715340444E-2</v>
      </c>
      <c r="H17">
        <v>16</v>
      </c>
      <c r="I17" s="4">
        <v>2.6391752577319592E-2</v>
      </c>
    </row>
    <row r="18" spans="1:9" x14ac:dyDescent="0.35">
      <c r="A18" s="2">
        <v>37</v>
      </c>
      <c r="B18">
        <v>1.5</v>
      </c>
      <c r="C18" s="4">
        <v>7.5313807531380755E-2</v>
      </c>
      <c r="D18">
        <v>1.6666666666666667</v>
      </c>
      <c r="E18" s="4">
        <v>5.9189109203906477E-3</v>
      </c>
      <c r="F18">
        <v>12</v>
      </c>
      <c r="G18" s="4">
        <v>3.937653814602133E-2</v>
      </c>
      <c r="H18">
        <v>15.166666666666668</v>
      </c>
      <c r="I18" s="4">
        <v>2.5017182130584199E-2</v>
      </c>
    </row>
    <row r="19" spans="1:9" x14ac:dyDescent="0.35">
      <c r="A19" s="2">
        <v>30</v>
      </c>
      <c r="B19">
        <v>0.5</v>
      </c>
      <c r="C19" s="4">
        <v>2.5104602510460254E-2</v>
      </c>
      <c r="D19">
        <v>7.75</v>
      </c>
      <c r="E19" s="4">
        <v>2.7522935779816508E-2</v>
      </c>
      <c r="F19">
        <v>5</v>
      </c>
      <c r="G19" s="4">
        <v>1.6406890894175553E-2</v>
      </c>
      <c r="H19">
        <v>13.25</v>
      </c>
      <c r="I19" s="4">
        <v>2.1855670103092788E-2</v>
      </c>
    </row>
    <row r="20" spans="1:9" x14ac:dyDescent="0.35">
      <c r="A20" s="2">
        <v>39</v>
      </c>
      <c r="B20">
        <v>0</v>
      </c>
      <c r="C20" s="4">
        <v>0</v>
      </c>
      <c r="D20">
        <v>8.6666666666666661</v>
      </c>
      <c r="E20" s="4">
        <v>3.0778336786031365E-2</v>
      </c>
      <c r="F20">
        <v>4.5</v>
      </c>
      <c r="G20" s="4">
        <v>1.4766201804757998E-2</v>
      </c>
      <c r="H20">
        <v>13.166666666666666</v>
      </c>
      <c r="I20" s="4">
        <v>2.1718213058419249E-2</v>
      </c>
    </row>
    <row r="21" spans="1:9" x14ac:dyDescent="0.35">
      <c r="A21" s="2">
        <v>13</v>
      </c>
      <c r="B21">
        <v>0.5</v>
      </c>
      <c r="C21" s="4">
        <v>2.5104602510460254E-2</v>
      </c>
      <c r="D21">
        <v>3.333333333333333</v>
      </c>
      <c r="E21" s="4">
        <v>1.1837821840781294E-2</v>
      </c>
      <c r="F21">
        <v>9</v>
      </c>
      <c r="G21" s="4">
        <v>2.9532403609515995E-2</v>
      </c>
      <c r="H21">
        <v>12.833333333333332</v>
      </c>
      <c r="I21" s="4">
        <v>2.1168384879725086E-2</v>
      </c>
    </row>
    <row r="22" spans="1:9" x14ac:dyDescent="0.35">
      <c r="A22" s="2">
        <v>28</v>
      </c>
      <c r="B22">
        <v>0</v>
      </c>
      <c r="C22" s="4">
        <v>0</v>
      </c>
      <c r="D22">
        <v>11</v>
      </c>
      <c r="E22" s="4">
        <v>3.9064812074578271E-2</v>
      </c>
      <c r="F22">
        <v>1</v>
      </c>
      <c r="G22" s="4">
        <v>3.2813781788351109E-3</v>
      </c>
      <c r="H22">
        <v>12</v>
      </c>
      <c r="I22" s="4">
        <v>1.9793814432989696E-2</v>
      </c>
    </row>
    <row r="23" spans="1:9" x14ac:dyDescent="0.35">
      <c r="A23" s="2">
        <v>29</v>
      </c>
      <c r="B23">
        <v>0</v>
      </c>
      <c r="C23" s="4">
        <v>0</v>
      </c>
      <c r="D23">
        <v>8.75</v>
      </c>
      <c r="E23" s="4">
        <v>3.1074282332050899E-2</v>
      </c>
      <c r="F23">
        <v>1</v>
      </c>
      <c r="G23" s="4">
        <v>3.2813781788351109E-3</v>
      </c>
      <c r="H23">
        <v>9.75</v>
      </c>
      <c r="I23" s="4">
        <v>1.6082474226804127E-2</v>
      </c>
    </row>
    <row r="24" spans="1:9" x14ac:dyDescent="0.35">
      <c r="A24" s="2">
        <v>11</v>
      </c>
      <c r="B24">
        <v>0</v>
      </c>
      <c r="C24" s="4">
        <v>0</v>
      </c>
      <c r="D24">
        <v>5</v>
      </c>
      <c r="E24" s="4">
        <v>1.7756732761171942E-2</v>
      </c>
      <c r="F24">
        <v>4.5</v>
      </c>
      <c r="G24" s="4">
        <v>1.4766201804757998E-2</v>
      </c>
      <c r="H24">
        <v>9.5</v>
      </c>
      <c r="I24" s="4">
        <v>1.5670103092783508E-2</v>
      </c>
    </row>
    <row r="25" spans="1:9" x14ac:dyDescent="0.35">
      <c r="A25" s="2">
        <v>8</v>
      </c>
      <c r="B25">
        <v>0.5</v>
      </c>
      <c r="C25" s="4">
        <v>2.5104602510460254E-2</v>
      </c>
      <c r="D25">
        <v>1</v>
      </c>
      <c r="E25" s="4">
        <v>3.5513465522343884E-3</v>
      </c>
      <c r="F25">
        <v>7.5</v>
      </c>
      <c r="G25" s="4">
        <v>2.461033634126333E-2</v>
      </c>
      <c r="H25">
        <v>9</v>
      </c>
      <c r="I25" s="4">
        <v>1.4845360824742271E-2</v>
      </c>
    </row>
    <row r="26" spans="1:9" x14ac:dyDescent="0.35">
      <c r="A26" s="2">
        <v>34</v>
      </c>
      <c r="B26">
        <v>0.5</v>
      </c>
      <c r="C26" s="4">
        <v>2.5104602510460254E-2</v>
      </c>
      <c r="D26">
        <v>8.3333333333333339</v>
      </c>
      <c r="E26" s="4">
        <v>2.9594554601953239E-2</v>
      </c>
      <c r="F26" t="s">
        <v>12</v>
      </c>
      <c r="G26" s="4">
        <v>0</v>
      </c>
      <c r="H26">
        <v>8.8333333333333339</v>
      </c>
      <c r="I26" s="4">
        <v>1.4570446735395193E-2</v>
      </c>
    </row>
    <row r="27" spans="1:9" x14ac:dyDescent="0.35">
      <c r="A27" s="2">
        <v>35</v>
      </c>
      <c r="B27">
        <v>0.75</v>
      </c>
      <c r="C27" s="4">
        <v>3.7656903765690378E-2</v>
      </c>
      <c r="D27">
        <v>7</v>
      </c>
      <c r="E27" s="4">
        <v>2.485942586564072E-2</v>
      </c>
      <c r="F27">
        <v>1</v>
      </c>
      <c r="G27" s="4">
        <v>3.2813781788351109E-3</v>
      </c>
      <c r="H27">
        <v>8.75</v>
      </c>
      <c r="I27" s="4">
        <v>1.4432989690721652E-2</v>
      </c>
    </row>
    <row r="28" spans="1:9" x14ac:dyDescent="0.35">
      <c r="A28" s="2">
        <v>2</v>
      </c>
      <c r="B28">
        <v>0.5</v>
      </c>
      <c r="C28" s="4">
        <v>2.5104602510460254E-2</v>
      </c>
      <c r="D28">
        <v>0.25</v>
      </c>
      <c r="E28" s="4">
        <v>8.8783663805859709E-4</v>
      </c>
      <c r="F28">
        <v>6.5</v>
      </c>
      <c r="G28" s="4">
        <v>2.1328958162428219E-2</v>
      </c>
      <c r="H28">
        <v>7.25</v>
      </c>
      <c r="I28" s="4">
        <v>1.195876288659794E-2</v>
      </c>
    </row>
    <row r="29" spans="1:9" x14ac:dyDescent="0.35">
      <c r="A29" s="2">
        <v>36</v>
      </c>
      <c r="B29">
        <v>1.25</v>
      </c>
      <c r="C29" s="4">
        <v>6.2761506276150639E-2</v>
      </c>
      <c r="D29">
        <v>5</v>
      </c>
      <c r="E29" s="4">
        <v>1.7756732761171942E-2</v>
      </c>
      <c r="F29" t="s">
        <v>12</v>
      </c>
      <c r="G29" s="4">
        <v>0</v>
      </c>
      <c r="H29">
        <v>6.25</v>
      </c>
      <c r="I29" s="4">
        <v>1.0309278350515465E-2</v>
      </c>
    </row>
    <row r="30" spans="1:9" x14ac:dyDescent="0.35">
      <c r="A30" s="2">
        <v>31</v>
      </c>
      <c r="B30">
        <v>0</v>
      </c>
      <c r="C30" s="4">
        <v>0</v>
      </c>
      <c r="D30">
        <v>3</v>
      </c>
      <c r="E30" s="4">
        <v>1.0654039656703165E-2</v>
      </c>
      <c r="F30">
        <v>2</v>
      </c>
      <c r="G30" s="4">
        <v>6.5627563576702219E-3</v>
      </c>
      <c r="H30">
        <v>5</v>
      </c>
      <c r="I30" s="4">
        <v>8.2474226804123731E-3</v>
      </c>
    </row>
    <row r="31" spans="1:9" x14ac:dyDescent="0.35">
      <c r="A31" s="2">
        <v>5</v>
      </c>
      <c r="B31">
        <v>1</v>
      </c>
      <c r="C31" s="4">
        <v>5.0209205020920508E-2</v>
      </c>
      <c r="D31">
        <v>1.3333333333333333</v>
      </c>
      <c r="E31" s="4">
        <v>4.7351287363125178E-3</v>
      </c>
      <c r="F31">
        <v>2</v>
      </c>
      <c r="G31" s="4">
        <v>6.5627563576702219E-3</v>
      </c>
      <c r="H31">
        <v>4.333333333333333</v>
      </c>
      <c r="I31" s="4">
        <v>7.1477663230240561E-3</v>
      </c>
    </row>
    <row r="32" spans="1:9" x14ac:dyDescent="0.35">
      <c r="A32" s="2">
        <v>16</v>
      </c>
      <c r="B32">
        <v>0.25</v>
      </c>
      <c r="C32" s="4">
        <v>1.2552301255230127E-2</v>
      </c>
      <c r="D32">
        <v>2.25</v>
      </c>
      <c r="E32" s="4">
        <v>7.9905297425273743E-3</v>
      </c>
      <c r="F32">
        <v>1.5</v>
      </c>
      <c r="G32" s="4">
        <v>4.9220672682526662E-3</v>
      </c>
      <c r="H32">
        <v>4</v>
      </c>
      <c r="I32" s="4">
        <v>6.5979381443298981E-3</v>
      </c>
    </row>
    <row r="33" spans="1:9" x14ac:dyDescent="0.35">
      <c r="A33" s="2">
        <v>3</v>
      </c>
      <c r="B33">
        <v>1</v>
      </c>
      <c r="C33" s="4">
        <v>5.0209205020920508E-2</v>
      </c>
      <c r="D33">
        <v>2.75</v>
      </c>
      <c r="E33" s="4">
        <v>9.7662030186445679E-3</v>
      </c>
      <c r="F33" t="s">
        <v>12</v>
      </c>
      <c r="G33" s="4">
        <v>0</v>
      </c>
      <c r="H33">
        <v>3.75</v>
      </c>
      <c r="I33" s="4">
        <v>6.1855670103092798E-3</v>
      </c>
    </row>
    <row r="34" spans="1:9" x14ac:dyDescent="0.35">
      <c r="A34" s="2">
        <v>32</v>
      </c>
      <c r="B34">
        <v>0.5</v>
      </c>
      <c r="C34" s="4">
        <v>2.5104602510460254E-2</v>
      </c>
      <c r="D34">
        <v>2.5</v>
      </c>
      <c r="E34" s="4">
        <v>8.8783663805859711E-3</v>
      </c>
      <c r="F34" t="s">
        <v>12</v>
      </c>
      <c r="G34" s="4">
        <v>0</v>
      </c>
      <c r="H34">
        <v>3</v>
      </c>
      <c r="I34" s="4">
        <v>4.948453608247424E-3</v>
      </c>
    </row>
    <row r="35" spans="1:9" x14ac:dyDescent="0.35">
      <c r="A35" s="2">
        <v>27</v>
      </c>
      <c r="B35">
        <v>0</v>
      </c>
      <c r="C35" s="4">
        <v>0</v>
      </c>
      <c r="D35">
        <v>0</v>
      </c>
      <c r="E35" s="4">
        <v>0</v>
      </c>
      <c r="F35">
        <v>2.3333333333333335</v>
      </c>
      <c r="G35" s="4">
        <v>7.6565490839485923E-3</v>
      </c>
      <c r="H35">
        <v>2.3333333333333335</v>
      </c>
      <c r="I35" s="4">
        <v>3.8487972508591075E-3</v>
      </c>
    </row>
    <row r="36" spans="1:9" x14ac:dyDescent="0.35">
      <c r="A36" s="2">
        <v>17</v>
      </c>
      <c r="B36">
        <v>0</v>
      </c>
      <c r="C36" s="4">
        <v>0</v>
      </c>
      <c r="D36">
        <v>2</v>
      </c>
      <c r="E36" s="4">
        <v>7.1026931044687767E-3</v>
      </c>
      <c r="F36">
        <v>0.25</v>
      </c>
      <c r="G36" s="4">
        <v>8.2034454470877774E-4</v>
      </c>
      <c r="H36">
        <v>2.25</v>
      </c>
      <c r="I36" s="4">
        <v>3.7113402061855678E-3</v>
      </c>
    </row>
    <row r="37" spans="1:9" x14ac:dyDescent="0.35">
      <c r="A37" s="2">
        <v>18</v>
      </c>
      <c r="B37">
        <v>0</v>
      </c>
      <c r="C37" s="4">
        <v>0</v>
      </c>
      <c r="D37">
        <v>0</v>
      </c>
      <c r="E37" s="4">
        <v>0</v>
      </c>
      <c r="F37">
        <v>1.5</v>
      </c>
      <c r="G37" s="4">
        <v>4.9220672682526662E-3</v>
      </c>
      <c r="H37">
        <v>1.5</v>
      </c>
      <c r="I37" s="4">
        <v>2.474226804123712E-3</v>
      </c>
    </row>
    <row r="38" spans="1:9" x14ac:dyDescent="0.35">
      <c r="A38" s="2">
        <v>7</v>
      </c>
      <c r="B38">
        <v>0</v>
      </c>
      <c r="C38" s="4">
        <v>0</v>
      </c>
      <c r="D38">
        <v>0.75</v>
      </c>
      <c r="E38" s="4">
        <v>2.6635099141757912E-3</v>
      </c>
      <c r="F38">
        <v>0</v>
      </c>
      <c r="G38" s="4">
        <v>0</v>
      </c>
      <c r="H38">
        <v>0.75</v>
      </c>
      <c r="I38" s="4">
        <v>1.237113402061856E-3</v>
      </c>
    </row>
    <row r="39" spans="1:9" x14ac:dyDescent="0.35">
      <c r="A39" s="2">
        <v>9</v>
      </c>
      <c r="B39">
        <v>0</v>
      </c>
      <c r="C39" s="4">
        <v>0</v>
      </c>
      <c r="D39">
        <v>0.75</v>
      </c>
      <c r="E39" s="4">
        <v>2.6635099141757912E-3</v>
      </c>
      <c r="F39">
        <v>0</v>
      </c>
      <c r="G39" s="4">
        <v>0</v>
      </c>
      <c r="H39">
        <v>0.75</v>
      </c>
      <c r="I39" s="4">
        <v>1.237113402061856E-3</v>
      </c>
    </row>
    <row r="40" spans="1:9" x14ac:dyDescent="0.35">
      <c r="A40" s="6">
        <v>6</v>
      </c>
      <c r="B40" s="8">
        <v>0</v>
      </c>
      <c r="C40" s="10">
        <v>0</v>
      </c>
      <c r="D40" s="8">
        <v>0</v>
      </c>
      <c r="E40" s="10">
        <v>0</v>
      </c>
      <c r="F40" s="8" t="s">
        <v>12</v>
      </c>
      <c r="G40" s="10">
        <v>0</v>
      </c>
      <c r="H40" s="8">
        <v>0</v>
      </c>
      <c r="I40" s="10">
        <v>0</v>
      </c>
    </row>
    <row r="41" spans="1:9" x14ac:dyDescent="0.35">
      <c r="A41" s="5" t="s">
        <v>9</v>
      </c>
      <c r="B41" s="7">
        <v>19.916666666666664</v>
      </c>
      <c r="C41" s="9">
        <v>1</v>
      </c>
      <c r="D41" s="7">
        <v>281.58333333333337</v>
      </c>
      <c r="E41" s="9">
        <v>1</v>
      </c>
      <c r="F41" s="7">
        <v>304.75</v>
      </c>
      <c r="G41" s="9">
        <v>1</v>
      </c>
      <c r="H41" s="7">
        <v>606.24999999999989</v>
      </c>
      <c r="I41" s="9">
        <v>1</v>
      </c>
    </row>
  </sheetData>
  <sortState xmlns:xlrd2="http://schemas.microsoft.com/office/spreadsheetml/2017/richdata2" ref="A2:I40">
    <sortCondition descending="1" ref="I2:I40"/>
  </sortState>
  <conditionalFormatting sqref="I2:I41 G2:G41 E2:E41 C2:C41">
    <cfRule type="cellIs" dxfId="8" priority="10" operator="lessThan">
      <formula>0.01</formula>
    </cfRule>
    <cfRule type="cellIs" dxfId="7" priority="11" operator="between">
      <formula>0.01</formula>
      <formula>0.05</formula>
    </cfRule>
    <cfRule type="cellIs" dxfId="6" priority="12" operator="greaterThan">
      <formula>0.0499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D3DB3-E59B-4F0C-9357-7DFED75F6911}">
  <dimension ref="A1:I41"/>
  <sheetViews>
    <sheetView zoomScale="70" zoomScaleNormal="70" workbookViewId="0">
      <selection activeCell="K30" sqref="K30"/>
    </sheetView>
  </sheetViews>
  <sheetFormatPr defaultRowHeight="14.5" x14ac:dyDescent="0.35"/>
  <sheetData>
    <row r="1" spans="1:9" x14ac:dyDescent="0.35">
      <c r="A1" s="3" t="s">
        <v>1</v>
      </c>
      <c r="B1" s="3">
        <v>2021</v>
      </c>
      <c r="C1" s="3" t="s">
        <v>11</v>
      </c>
      <c r="D1" s="3">
        <v>2022</v>
      </c>
      <c r="E1" s="3" t="s">
        <v>11</v>
      </c>
      <c r="F1" s="3">
        <v>2023</v>
      </c>
      <c r="G1" s="3" t="s">
        <v>11</v>
      </c>
      <c r="H1" s="3" t="s">
        <v>9</v>
      </c>
      <c r="I1" s="3" t="s">
        <v>11</v>
      </c>
    </row>
    <row r="2" spans="1:9" x14ac:dyDescent="0.35">
      <c r="A2" s="2">
        <v>1</v>
      </c>
      <c r="B2">
        <v>64</v>
      </c>
      <c r="C2" s="4">
        <v>5.5948131419829537E-2</v>
      </c>
      <c r="D2">
        <v>187.16666666666666</v>
      </c>
      <c r="E2" s="4">
        <v>7.2538190743790976E-2</v>
      </c>
      <c r="F2">
        <v>33</v>
      </c>
      <c r="G2" s="4">
        <v>4.9180327868852458E-2</v>
      </c>
      <c r="H2">
        <v>284.16666666666663</v>
      </c>
      <c r="I2" s="4">
        <v>6.4654355162868299E-2</v>
      </c>
    </row>
    <row r="3" spans="1:9" x14ac:dyDescent="0.35">
      <c r="A3" s="2">
        <v>22</v>
      </c>
      <c r="B3">
        <v>122</v>
      </c>
      <c r="C3" s="4">
        <v>0.10665112551905007</v>
      </c>
      <c r="D3">
        <v>60.25</v>
      </c>
      <c r="E3" s="4">
        <v>2.3350450537738592E-2</v>
      </c>
      <c r="F3">
        <v>72.333333333333329</v>
      </c>
      <c r="G3" s="4">
        <v>0.10779930452061599</v>
      </c>
      <c r="H3">
        <v>254.58333333333331</v>
      </c>
      <c r="I3" s="4">
        <v>5.7923476546206061E-2</v>
      </c>
    </row>
    <row r="4" spans="1:9" x14ac:dyDescent="0.35">
      <c r="A4" s="2">
        <v>7</v>
      </c>
      <c r="B4">
        <v>47</v>
      </c>
      <c r="C4" s="4">
        <v>4.1086909011437321E-2</v>
      </c>
      <c r="D4">
        <v>133</v>
      </c>
      <c r="E4" s="4">
        <v>5.1545392888286017E-2</v>
      </c>
      <c r="F4">
        <v>55.5</v>
      </c>
      <c r="G4" s="4">
        <v>8.2712369597615493E-2</v>
      </c>
      <c r="H4">
        <v>235.5</v>
      </c>
      <c r="I4" s="4">
        <v>5.3581585832922538E-2</v>
      </c>
    </row>
    <row r="5" spans="1:9" x14ac:dyDescent="0.35">
      <c r="A5" s="2">
        <v>23</v>
      </c>
      <c r="B5">
        <v>28.75</v>
      </c>
      <c r="C5" s="4">
        <v>2.5132949661251552E-2</v>
      </c>
      <c r="D5">
        <v>128.75</v>
      </c>
      <c r="E5" s="4">
        <v>4.9898265671931015E-2</v>
      </c>
      <c r="F5">
        <v>41.666666666666664</v>
      </c>
      <c r="G5" s="4">
        <v>6.2096373571783402E-2</v>
      </c>
      <c r="H5">
        <v>199.16666666666666</v>
      </c>
      <c r="I5" s="4">
        <v>4.5314929278373973E-2</v>
      </c>
    </row>
    <row r="6" spans="1:9" x14ac:dyDescent="0.35">
      <c r="A6" s="2">
        <v>14</v>
      </c>
      <c r="B6">
        <v>2</v>
      </c>
      <c r="C6" s="4">
        <v>1.748379106869673E-3</v>
      </c>
      <c r="D6">
        <v>163</v>
      </c>
      <c r="E6" s="4">
        <v>6.3172173239027227E-2</v>
      </c>
      <c r="F6">
        <v>8</v>
      </c>
      <c r="G6" s="4">
        <v>1.1922503725782414E-2</v>
      </c>
      <c r="H6">
        <v>173</v>
      </c>
      <c r="I6" s="4">
        <v>3.9361419741382582E-2</v>
      </c>
    </row>
    <row r="7" spans="1:9" x14ac:dyDescent="0.35">
      <c r="A7" s="2">
        <v>4</v>
      </c>
      <c r="B7">
        <v>31.5</v>
      </c>
      <c r="C7" s="4">
        <v>2.7536970933197354E-2</v>
      </c>
      <c r="D7">
        <v>80.666666666666671</v>
      </c>
      <c r="E7" s="4">
        <v>3.1263120498659695E-2</v>
      </c>
      <c r="F7">
        <v>59</v>
      </c>
      <c r="G7" s="4">
        <v>8.792846497764531E-2</v>
      </c>
      <c r="H7">
        <v>171.16666666666669</v>
      </c>
      <c r="I7" s="4">
        <v>3.8944294869364085E-2</v>
      </c>
    </row>
    <row r="8" spans="1:9" x14ac:dyDescent="0.35">
      <c r="A8" s="2">
        <v>16</v>
      </c>
      <c r="B8">
        <v>40.75</v>
      </c>
      <c r="C8" s="4">
        <v>3.5623224302469593E-2</v>
      </c>
      <c r="D8">
        <v>112.5</v>
      </c>
      <c r="E8" s="4">
        <v>4.3600426315279529E-2</v>
      </c>
      <c r="F8">
        <v>6.5</v>
      </c>
      <c r="G8" s="4">
        <v>9.6870342771982112E-3</v>
      </c>
      <c r="H8">
        <v>159.75</v>
      </c>
      <c r="I8" s="4">
        <v>3.6346744529976112E-2</v>
      </c>
    </row>
    <row r="9" spans="1:9" x14ac:dyDescent="0.35">
      <c r="A9" s="2">
        <v>15</v>
      </c>
      <c r="B9">
        <v>23.583333333333332</v>
      </c>
      <c r="C9" s="4">
        <v>2.061630363517156E-2</v>
      </c>
      <c r="D9">
        <v>103.25</v>
      </c>
      <c r="E9" s="4">
        <v>4.0015502373800992E-2</v>
      </c>
      <c r="F9">
        <v>31</v>
      </c>
      <c r="G9" s="4">
        <v>4.6199701937406856E-2</v>
      </c>
      <c r="H9">
        <v>157.83333333333331</v>
      </c>
      <c r="I9" s="4">
        <v>3.5910659436502221E-2</v>
      </c>
    </row>
    <row r="10" spans="1:9" x14ac:dyDescent="0.35">
      <c r="A10" s="2">
        <v>11</v>
      </c>
      <c r="B10">
        <v>55.5</v>
      </c>
      <c r="C10" s="4">
        <v>4.8517520215633429E-2</v>
      </c>
      <c r="D10">
        <v>76</v>
      </c>
      <c r="E10" s="4">
        <v>2.9454510221877724E-2</v>
      </c>
      <c r="F10">
        <v>24.5</v>
      </c>
      <c r="G10" s="4">
        <v>3.6512667660208643E-2</v>
      </c>
      <c r="H10">
        <v>156</v>
      </c>
      <c r="I10" s="4">
        <v>3.5493534564483717E-2</v>
      </c>
    </row>
    <row r="11" spans="1:9" x14ac:dyDescent="0.35">
      <c r="A11" s="2">
        <v>31</v>
      </c>
      <c r="B11">
        <v>25.25</v>
      </c>
      <c r="C11" s="4">
        <v>2.2073286224229622E-2</v>
      </c>
      <c r="D11">
        <v>107.75</v>
      </c>
      <c r="E11" s="4">
        <v>4.1759519426412171E-2</v>
      </c>
      <c r="F11">
        <v>22.5</v>
      </c>
      <c r="G11" s="4">
        <v>3.3532041728763042E-2</v>
      </c>
      <c r="H11">
        <v>155.5</v>
      </c>
      <c r="I11" s="4">
        <v>3.5379773235751401E-2</v>
      </c>
    </row>
    <row r="12" spans="1:9" x14ac:dyDescent="0.35">
      <c r="A12" s="2">
        <v>36</v>
      </c>
      <c r="B12">
        <v>26.75</v>
      </c>
      <c r="C12" s="4">
        <v>2.3384570554381878E-2</v>
      </c>
      <c r="D12">
        <v>126.5</v>
      </c>
      <c r="E12" s="4">
        <v>4.9026257145625425E-2</v>
      </c>
      <c r="F12" t="s">
        <v>12</v>
      </c>
      <c r="G12" s="4">
        <v>0</v>
      </c>
      <c r="H12">
        <v>153.25</v>
      </c>
      <c r="I12" s="4">
        <v>3.4867847256455961E-2</v>
      </c>
    </row>
    <row r="13" spans="1:9" x14ac:dyDescent="0.35">
      <c r="A13" s="2">
        <v>38</v>
      </c>
      <c r="B13">
        <v>67</v>
      </c>
      <c r="C13" s="4">
        <v>5.8570700080134049E-2</v>
      </c>
      <c r="D13">
        <v>73.666666666666657</v>
      </c>
      <c r="E13" s="4">
        <v>2.8550205083486737E-2</v>
      </c>
      <c r="F13">
        <v>7.5</v>
      </c>
      <c r="G13" s="4">
        <v>1.1177347242921014E-2</v>
      </c>
      <c r="H13">
        <v>148.16666666666666</v>
      </c>
      <c r="I13" s="4">
        <v>3.3711273747677378E-2</v>
      </c>
    </row>
    <row r="14" spans="1:9" x14ac:dyDescent="0.35">
      <c r="A14" s="2">
        <v>19</v>
      </c>
      <c r="B14">
        <v>10.25</v>
      </c>
      <c r="C14" s="4">
        <v>8.9604429227070747E-3</v>
      </c>
      <c r="D14">
        <v>106.75</v>
      </c>
      <c r="E14" s="4">
        <v>4.1371960081387466E-2</v>
      </c>
      <c r="F14">
        <v>14</v>
      </c>
      <c r="G14" s="4">
        <v>2.0864381520119227E-2</v>
      </c>
      <c r="H14">
        <v>131</v>
      </c>
      <c r="I14" s="4">
        <v>2.9805468127867739E-2</v>
      </c>
    </row>
    <row r="15" spans="1:9" x14ac:dyDescent="0.35">
      <c r="A15" s="2">
        <v>30</v>
      </c>
      <c r="B15">
        <v>24.75</v>
      </c>
      <c r="C15" s="4">
        <v>2.1636191447512203E-2</v>
      </c>
      <c r="D15">
        <v>87.25</v>
      </c>
      <c r="E15" s="4">
        <v>3.3814552853405677E-2</v>
      </c>
      <c r="F15">
        <v>14</v>
      </c>
      <c r="G15" s="4">
        <v>2.0864381520119227E-2</v>
      </c>
      <c r="H15">
        <v>126</v>
      </c>
      <c r="I15" s="4">
        <v>2.8667854840544543E-2</v>
      </c>
    </row>
    <row r="16" spans="1:9" x14ac:dyDescent="0.35">
      <c r="A16" s="2">
        <v>13</v>
      </c>
      <c r="B16">
        <v>25.5</v>
      </c>
      <c r="C16" s="4">
        <v>2.2291833612588331E-2</v>
      </c>
      <c r="D16">
        <v>44</v>
      </c>
      <c r="E16" s="4">
        <v>1.7052611181087102E-2</v>
      </c>
      <c r="F16">
        <v>50</v>
      </c>
      <c r="G16" s="4">
        <v>7.4515648286140088E-2</v>
      </c>
      <c r="H16">
        <v>119.5</v>
      </c>
      <c r="I16" s="4">
        <v>2.7188957567024385E-2</v>
      </c>
    </row>
    <row r="17" spans="1:9" x14ac:dyDescent="0.35">
      <c r="A17" s="2">
        <v>12</v>
      </c>
      <c r="B17">
        <v>37.25</v>
      </c>
      <c r="C17" s="4">
        <v>3.2563560865447663E-2</v>
      </c>
      <c r="D17">
        <v>77.25</v>
      </c>
      <c r="E17" s="4">
        <v>2.9938959403158608E-2</v>
      </c>
      <c r="F17">
        <v>1</v>
      </c>
      <c r="G17" s="4">
        <v>1.4903129657228018E-3</v>
      </c>
      <c r="H17">
        <v>115.5</v>
      </c>
      <c r="I17" s="4">
        <v>2.6278866937165829E-2</v>
      </c>
    </row>
    <row r="18" spans="1:9" x14ac:dyDescent="0.35">
      <c r="A18" s="2">
        <v>21</v>
      </c>
      <c r="B18">
        <v>55.5</v>
      </c>
      <c r="C18" s="4">
        <v>4.8517520215633429E-2</v>
      </c>
      <c r="D18">
        <v>26</v>
      </c>
      <c r="E18" s="4">
        <v>1.007654297064238E-2</v>
      </c>
      <c r="F18">
        <v>33</v>
      </c>
      <c r="G18" s="4">
        <v>4.9180327868852458E-2</v>
      </c>
      <c r="H18">
        <v>114.5</v>
      </c>
      <c r="I18" s="4">
        <v>2.605134427970119E-2</v>
      </c>
    </row>
    <row r="19" spans="1:9" x14ac:dyDescent="0.35">
      <c r="A19" s="2">
        <v>37</v>
      </c>
      <c r="B19">
        <v>30.25</v>
      </c>
      <c r="C19" s="4">
        <v>2.6444233991403807E-2</v>
      </c>
      <c r="D19">
        <v>40.416666666666664</v>
      </c>
      <c r="E19" s="4">
        <v>1.5663856861415238E-2</v>
      </c>
      <c r="F19">
        <v>41</v>
      </c>
      <c r="G19" s="4">
        <v>6.1102831594634872E-2</v>
      </c>
      <c r="H19">
        <v>111.66666666666666</v>
      </c>
      <c r="I19" s="4">
        <v>2.5406696750218043E-2</v>
      </c>
    </row>
    <row r="20" spans="1:9" x14ac:dyDescent="0.35">
      <c r="A20" s="2">
        <v>39</v>
      </c>
      <c r="B20">
        <v>7.25</v>
      </c>
      <c r="C20" s="4">
        <v>6.3378742624025652E-3</v>
      </c>
      <c r="D20">
        <v>85.166666666666657</v>
      </c>
      <c r="E20" s="4">
        <v>3.3007137551270868E-2</v>
      </c>
      <c r="F20">
        <v>19</v>
      </c>
      <c r="G20" s="4">
        <v>2.8315946348733235E-2</v>
      </c>
      <c r="H20">
        <v>111.41666666666666</v>
      </c>
      <c r="I20" s="4">
        <v>2.5349816085851885E-2</v>
      </c>
    </row>
    <row r="21" spans="1:9" x14ac:dyDescent="0.35">
      <c r="A21" s="2">
        <v>28</v>
      </c>
      <c r="B21">
        <v>1.5</v>
      </c>
      <c r="C21" s="4">
        <v>1.3112843301522549E-3</v>
      </c>
      <c r="D21">
        <v>97.25</v>
      </c>
      <c r="E21" s="4">
        <v>3.769014630365275E-2</v>
      </c>
      <c r="F21">
        <v>11</v>
      </c>
      <c r="G21" s="4">
        <v>1.6393442622950821E-2</v>
      </c>
      <c r="H21">
        <v>109.75</v>
      </c>
      <c r="I21" s="4">
        <v>2.4970611656744156E-2</v>
      </c>
    </row>
    <row r="22" spans="1:9" x14ac:dyDescent="0.35">
      <c r="A22" s="2">
        <v>41</v>
      </c>
      <c r="B22">
        <v>32</v>
      </c>
      <c r="C22" s="10">
        <v>2.7974065709914769E-2</v>
      </c>
      <c r="D22">
        <v>66.333333333333343</v>
      </c>
      <c r="E22" s="10">
        <v>2.5708103219972227E-2</v>
      </c>
      <c r="F22">
        <v>11</v>
      </c>
      <c r="G22" s="10">
        <v>1.6393442622950821E-2</v>
      </c>
      <c r="H22">
        <v>109.33333333333334</v>
      </c>
      <c r="I22" s="10">
        <v>2.4875810549467223E-2</v>
      </c>
    </row>
    <row r="23" spans="1:9" x14ac:dyDescent="0.35">
      <c r="A23" s="2">
        <v>20</v>
      </c>
      <c r="B23">
        <v>53</v>
      </c>
      <c r="C23" s="4">
        <v>4.6332046332046337E-2</v>
      </c>
      <c r="D23">
        <v>32</v>
      </c>
      <c r="E23" s="4">
        <v>1.2401899040790622E-2</v>
      </c>
      <c r="F23">
        <v>7</v>
      </c>
      <c r="G23" s="4">
        <v>1.0432190760059613E-2</v>
      </c>
      <c r="H23">
        <v>92</v>
      </c>
      <c r="I23" s="4">
        <v>2.093208448674681E-2</v>
      </c>
    </row>
    <row r="24" spans="1:9" x14ac:dyDescent="0.35">
      <c r="A24" s="2">
        <v>25</v>
      </c>
      <c r="B24">
        <v>16</v>
      </c>
      <c r="C24" s="4">
        <v>1.3987032854957384E-2</v>
      </c>
      <c r="D24">
        <v>65</v>
      </c>
      <c r="E24" s="4">
        <v>2.519135742660595E-2</v>
      </c>
      <c r="F24">
        <v>10.333333333333334</v>
      </c>
      <c r="G24" s="4">
        <v>1.5399900645802286E-2</v>
      </c>
      <c r="H24">
        <v>91.333333333333329</v>
      </c>
      <c r="I24" s="4">
        <v>2.0780402715103716E-2</v>
      </c>
    </row>
    <row r="25" spans="1:9" x14ac:dyDescent="0.35">
      <c r="A25" s="2">
        <v>2</v>
      </c>
      <c r="B25">
        <v>29</v>
      </c>
      <c r="C25" s="4">
        <v>2.5351497049610261E-2</v>
      </c>
      <c r="D25">
        <v>30.5</v>
      </c>
      <c r="E25" s="4">
        <v>1.1820560023253561E-2</v>
      </c>
      <c r="F25">
        <v>24.5</v>
      </c>
      <c r="G25" s="4">
        <v>3.6512667660208643E-2</v>
      </c>
      <c r="H25">
        <v>84</v>
      </c>
      <c r="I25" s="4">
        <v>1.9111903227029693E-2</v>
      </c>
    </row>
    <row r="26" spans="1:9" x14ac:dyDescent="0.35">
      <c r="A26" s="2">
        <v>35</v>
      </c>
      <c r="B26">
        <v>37.833333333333336</v>
      </c>
      <c r="C26" s="4">
        <v>3.3073504771617988E-2</v>
      </c>
      <c r="D26">
        <v>41.333333333333336</v>
      </c>
      <c r="E26" s="4">
        <v>1.6019119594354553E-2</v>
      </c>
      <c r="F26">
        <v>3</v>
      </c>
      <c r="G26" s="4">
        <v>4.4709388971684054E-3</v>
      </c>
      <c r="H26">
        <v>82.166666666666671</v>
      </c>
      <c r="I26" s="4">
        <v>1.8694778355011189E-2</v>
      </c>
    </row>
    <row r="27" spans="1:9" x14ac:dyDescent="0.35">
      <c r="A27" s="2">
        <v>26</v>
      </c>
      <c r="B27">
        <v>27.25</v>
      </c>
      <c r="C27" s="4">
        <v>2.3821665331099296E-2</v>
      </c>
      <c r="D27">
        <v>37.5</v>
      </c>
      <c r="E27" s="4">
        <v>1.4533475438426509E-2</v>
      </c>
      <c r="F27">
        <v>16.75</v>
      </c>
      <c r="G27" s="4">
        <v>2.4962742175856929E-2</v>
      </c>
      <c r="H27">
        <v>81.5</v>
      </c>
      <c r="I27" s="4">
        <v>1.8543096583368095E-2</v>
      </c>
    </row>
    <row r="28" spans="1:9" x14ac:dyDescent="0.35">
      <c r="A28" s="2">
        <v>33</v>
      </c>
      <c r="B28">
        <v>9.6666666666666661</v>
      </c>
      <c r="C28" s="4">
        <v>8.4504990165367531E-3</v>
      </c>
      <c r="D28">
        <v>57.75</v>
      </c>
      <c r="E28" s="4">
        <v>2.2381552175176823E-2</v>
      </c>
      <c r="F28">
        <v>13.5</v>
      </c>
      <c r="G28" s="4">
        <v>2.0119225037257823E-2</v>
      </c>
      <c r="H28">
        <v>80.916666666666671</v>
      </c>
      <c r="I28" s="4">
        <v>1.8410375033180392E-2</v>
      </c>
    </row>
    <row r="29" spans="1:9" x14ac:dyDescent="0.35">
      <c r="A29" s="2">
        <v>5</v>
      </c>
      <c r="B29">
        <v>35.333333333333336</v>
      </c>
      <c r="C29" s="4">
        <v>3.0888030888030896E-2</v>
      </c>
      <c r="D29">
        <v>38.666666666666671</v>
      </c>
      <c r="E29" s="4">
        <v>1.4985628007622003E-2</v>
      </c>
      <c r="F29">
        <v>3.6666666666666665</v>
      </c>
      <c r="G29" s="4">
        <v>5.4644808743169399E-3</v>
      </c>
      <c r="H29">
        <v>77.666666666666671</v>
      </c>
      <c r="I29" s="4">
        <v>1.7670926396420313E-2</v>
      </c>
    </row>
    <row r="30" spans="1:9" x14ac:dyDescent="0.35">
      <c r="A30" s="2">
        <v>34</v>
      </c>
      <c r="B30">
        <v>24</v>
      </c>
      <c r="C30" s="4">
        <v>2.0980549282436079E-2</v>
      </c>
      <c r="D30">
        <v>53.666666666666671</v>
      </c>
      <c r="E30" s="4">
        <v>2.0799018182992606E-2</v>
      </c>
      <c r="F30" t="s">
        <v>12</v>
      </c>
      <c r="G30" s="4">
        <v>0</v>
      </c>
      <c r="H30">
        <v>77.666666666666671</v>
      </c>
      <c r="I30" s="4">
        <v>1.7670926396420313E-2</v>
      </c>
    </row>
    <row r="31" spans="1:9" x14ac:dyDescent="0.35">
      <c r="A31" s="2">
        <v>3</v>
      </c>
      <c r="B31">
        <v>28.5</v>
      </c>
      <c r="C31" s="4">
        <v>2.4914402272892842E-2</v>
      </c>
      <c r="D31">
        <v>45.75</v>
      </c>
      <c r="E31" s="4">
        <v>1.7730840034880339E-2</v>
      </c>
      <c r="F31" t="s">
        <v>12</v>
      </c>
      <c r="G31" s="4">
        <v>0</v>
      </c>
      <c r="H31">
        <v>74.25</v>
      </c>
      <c r="I31" s="4">
        <v>1.6893557316749463E-2</v>
      </c>
    </row>
    <row r="32" spans="1:9" x14ac:dyDescent="0.35">
      <c r="A32" s="2">
        <v>24</v>
      </c>
      <c r="B32">
        <v>19.666666666666664</v>
      </c>
      <c r="C32" s="4">
        <v>1.7192394550885119E-2</v>
      </c>
      <c r="D32">
        <v>40.666666666666664</v>
      </c>
      <c r="E32" s="4">
        <v>1.5760746697671413E-2</v>
      </c>
      <c r="F32">
        <v>5</v>
      </c>
      <c r="G32" s="4">
        <v>7.4515648286140089E-3</v>
      </c>
      <c r="H32">
        <v>65.333333333333329</v>
      </c>
      <c r="I32" s="4">
        <v>1.4864813621023095E-2</v>
      </c>
    </row>
    <row r="33" spans="1:9" x14ac:dyDescent="0.35">
      <c r="A33" s="2">
        <v>32</v>
      </c>
      <c r="B33">
        <v>20</v>
      </c>
      <c r="C33" s="4">
        <v>1.7483791068696731E-2</v>
      </c>
      <c r="D33">
        <v>34</v>
      </c>
      <c r="E33" s="4">
        <v>1.3177017730840035E-2</v>
      </c>
      <c r="F33" t="s">
        <v>12</v>
      </c>
      <c r="G33" s="4">
        <v>0</v>
      </c>
      <c r="H33">
        <v>54</v>
      </c>
      <c r="I33" s="4">
        <v>1.2286223503090518E-2</v>
      </c>
    </row>
    <row r="34" spans="1:9" x14ac:dyDescent="0.35">
      <c r="A34" s="2">
        <v>6</v>
      </c>
      <c r="B34">
        <v>28</v>
      </c>
      <c r="C34" s="4">
        <v>2.4477307496175424E-2</v>
      </c>
      <c r="D34">
        <v>22</v>
      </c>
      <c r="E34" s="4">
        <v>8.5263055905435512E-3</v>
      </c>
      <c r="F34" t="s">
        <v>12</v>
      </c>
      <c r="G34" s="4">
        <v>0</v>
      </c>
      <c r="H34">
        <v>50</v>
      </c>
      <c r="I34" s="4">
        <v>1.1376132873231961E-2</v>
      </c>
    </row>
    <row r="35" spans="1:9" x14ac:dyDescent="0.35">
      <c r="A35" s="2">
        <v>29</v>
      </c>
      <c r="B35">
        <v>4</v>
      </c>
      <c r="C35" s="4">
        <v>3.4967582137393461E-3</v>
      </c>
      <c r="D35">
        <v>39.5</v>
      </c>
      <c r="E35" s="4">
        <v>1.5308594128475923E-2</v>
      </c>
      <c r="F35">
        <v>1</v>
      </c>
      <c r="G35" s="4">
        <v>1.4903129657228018E-3</v>
      </c>
      <c r="H35">
        <v>44.5</v>
      </c>
      <c r="I35" s="4">
        <v>1.0124758257176444E-2</v>
      </c>
    </row>
    <row r="36" spans="1:9" x14ac:dyDescent="0.35">
      <c r="A36" s="2">
        <v>8</v>
      </c>
      <c r="B36">
        <v>11</v>
      </c>
      <c r="C36" s="4">
        <v>9.6160850877832025E-3</v>
      </c>
      <c r="D36">
        <v>7.75</v>
      </c>
      <c r="E36" s="4">
        <v>3.0035849239414786E-3</v>
      </c>
      <c r="F36">
        <v>24</v>
      </c>
      <c r="G36" s="4">
        <v>3.5767511177347243E-2</v>
      </c>
      <c r="H36">
        <v>42.75</v>
      </c>
      <c r="I36" s="4">
        <v>9.7265936066133259E-3</v>
      </c>
    </row>
    <row r="37" spans="1:9" x14ac:dyDescent="0.35">
      <c r="A37" s="2">
        <v>17</v>
      </c>
      <c r="B37">
        <v>11</v>
      </c>
      <c r="C37" s="4">
        <v>9.6160850877832025E-3</v>
      </c>
      <c r="D37">
        <v>28.25</v>
      </c>
      <c r="E37" s="4">
        <v>1.094855149694797E-2</v>
      </c>
      <c r="F37">
        <v>0.25</v>
      </c>
      <c r="G37" s="4">
        <v>3.7257824143070045E-4</v>
      </c>
      <c r="H37">
        <v>39.5</v>
      </c>
      <c r="I37" s="4">
        <v>8.9871449698532488E-3</v>
      </c>
    </row>
    <row r="38" spans="1:9" x14ac:dyDescent="0.35">
      <c r="A38" s="2">
        <v>18</v>
      </c>
      <c r="B38">
        <v>15.333333333333332</v>
      </c>
      <c r="C38" s="4">
        <v>1.340423981933416E-2</v>
      </c>
      <c r="D38">
        <v>8.3333333333333339</v>
      </c>
      <c r="E38" s="4">
        <v>3.2296612085392245E-3</v>
      </c>
      <c r="F38">
        <v>3</v>
      </c>
      <c r="G38" s="4">
        <v>4.4709388971684054E-3</v>
      </c>
      <c r="H38">
        <v>26.666666666666664</v>
      </c>
      <c r="I38" s="4">
        <v>6.0672708657237119E-3</v>
      </c>
    </row>
    <row r="39" spans="1:9" x14ac:dyDescent="0.35">
      <c r="A39" s="2">
        <v>9</v>
      </c>
      <c r="B39">
        <v>8.5</v>
      </c>
      <c r="C39" s="4">
        <v>7.4306112041961107E-3</v>
      </c>
      <c r="D39">
        <v>11</v>
      </c>
      <c r="E39" s="4">
        <v>4.2631527952717756E-3</v>
      </c>
      <c r="F39">
        <v>0.5</v>
      </c>
      <c r="G39" s="4">
        <v>7.4515648286140089E-4</v>
      </c>
      <c r="H39">
        <v>20</v>
      </c>
      <c r="I39" s="4">
        <v>4.5504531492927842E-3</v>
      </c>
    </row>
    <row r="40" spans="1:9" x14ac:dyDescent="0.35">
      <c r="A40" s="6">
        <v>27</v>
      </c>
      <c r="B40" s="8">
        <v>7.5</v>
      </c>
      <c r="C40" s="4">
        <v>6.5564216507612745E-3</v>
      </c>
      <c r="D40" s="8">
        <v>3.666666666666667</v>
      </c>
      <c r="E40" s="4">
        <v>1.4210509317572587E-3</v>
      </c>
      <c r="F40" s="8">
        <v>3</v>
      </c>
      <c r="G40" s="4">
        <v>4.4709388971684054E-3</v>
      </c>
      <c r="H40" s="8">
        <v>14.166666666666668</v>
      </c>
      <c r="I40" s="4">
        <v>3.2232376474157225E-3</v>
      </c>
    </row>
    <row r="41" spans="1:9" x14ac:dyDescent="0.35">
      <c r="A41" s="5" t="s">
        <v>9</v>
      </c>
      <c r="B41" s="7">
        <v>1143.9166666666665</v>
      </c>
      <c r="C41" s="9">
        <v>1</v>
      </c>
      <c r="D41" s="7">
        <v>2580.25</v>
      </c>
      <c r="E41" s="9">
        <v>1</v>
      </c>
      <c r="F41" s="7">
        <v>671</v>
      </c>
      <c r="G41" s="9">
        <v>1</v>
      </c>
      <c r="H41" s="7">
        <v>4395.1666666666661</v>
      </c>
      <c r="I41" s="9">
        <v>1</v>
      </c>
    </row>
  </sheetData>
  <sortState xmlns:xlrd2="http://schemas.microsoft.com/office/spreadsheetml/2017/richdata2" ref="A2:I40">
    <sortCondition descending="1" ref="I2:I40"/>
  </sortState>
  <conditionalFormatting sqref="I2:I41 G2:G41 E2:E41 C2:C41">
    <cfRule type="cellIs" dxfId="5" priority="10" operator="lessThan">
      <formula>0.01</formula>
    </cfRule>
    <cfRule type="cellIs" dxfId="4" priority="11" operator="between">
      <formula>0.01</formula>
      <formula>0.05</formula>
    </cfRule>
    <cfRule type="cellIs" dxfId="3" priority="12" operator="greaterThan">
      <formula>0.0499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C43E5-953B-4C5C-B0E4-68498CB3FEE9}">
  <dimension ref="A1:K41"/>
  <sheetViews>
    <sheetView zoomScale="70" zoomScaleNormal="70" workbookViewId="0">
      <selection activeCell="O17" sqref="O17"/>
    </sheetView>
  </sheetViews>
  <sheetFormatPr defaultRowHeight="14.5" x14ac:dyDescent="0.35"/>
  <cols>
    <col min="8" max="8" width="10" customWidth="1"/>
  </cols>
  <sheetData>
    <row r="1" spans="1:11" x14ac:dyDescent="0.35">
      <c r="A1" s="3" t="s">
        <v>8</v>
      </c>
      <c r="B1" s="3">
        <v>2021</v>
      </c>
      <c r="C1" s="3" t="s">
        <v>11</v>
      </c>
      <c r="D1" s="3">
        <v>2022</v>
      </c>
      <c r="E1" s="3" t="s">
        <v>11</v>
      </c>
      <c r="F1" s="3">
        <v>2023</v>
      </c>
      <c r="G1" s="3" t="s">
        <v>11</v>
      </c>
      <c r="H1" s="3" t="s">
        <v>9</v>
      </c>
      <c r="I1" s="3" t="s">
        <v>11</v>
      </c>
    </row>
    <row r="2" spans="1:11" x14ac:dyDescent="0.35">
      <c r="A2" s="2">
        <v>31</v>
      </c>
      <c r="B2">
        <v>6</v>
      </c>
      <c r="C2" s="4">
        <v>5.3691275167785241E-2</v>
      </c>
      <c r="D2">
        <v>2.75</v>
      </c>
      <c r="E2" s="4">
        <v>9.0410958904109592E-2</v>
      </c>
      <c r="F2">
        <v>18</v>
      </c>
      <c r="G2" s="4">
        <v>0.12224108658743633</v>
      </c>
      <c r="H2">
        <v>26.75</v>
      </c>
      <c r="I2" s="4">
        <v>9.2427296285632024E-2</v>
      </c>
      <c r="K2" s="4">
        <f>SUM(I2:I8)</f>
        <v>0.55341203570400244</v>
      </c>
    </row>
    <row r="3" spans="1:11" x14ac:dyDescent="0.35">
      <c r="A3" s="2">
        <v>22</v>
      </c>
      <c r="B3">
        <v>17.5</v>
      </c>
      <c r="C3" s="10">
        <v>0.15659955257270697</v>
      </c>
      <c r="D3">
        <v>1</v>
      </c>
      <c r="E3" s="10">
        <v>3.2876712328767127E-2</v>
      </c>
      <c r="F3">
        <v>7.666666666666667</v>
      </c>
      <c r="G3" s="10">
        <v>5.2065647990945103E-2</v>
      </c>
      <c r="H3">
        <v>26.166666666666668</v>
      </c>
      <c r="I3" s="10">
        <v>9.0411747768499875E-2</v>
      </c>
      <c r="K3" s="4">
        <f>SUM(I9:I22)</f>
        <v>0.39130434782608697</v>
      </c>
    </row>
    <row r="4" spans="1:11" x14ac:dyDescent="0.35">
      <c r="A4" s="2">
        <v>1</v>
      </c>
      <c r="B4">
        <v>7.75</v>
      </c>
      <c r="C4" s="4">
        <v>6.9351230425055935E-2</v>
      </c>
      <c r="D4">
        <v>5.333333333333333</v>
      </c>
      <c r="E4" s="4">
        <v>0.17534246575342466</v>
      </c>
      <c r="F4">
        <v>13</v>
      </c>
      <c r="G4" s="4">
        <v>8.8285229202037352E-2</v>
      </c>
      <c r="H4">
        <v>26.083333333333332</v>
      </c>
      <c r="I4" s="4">
        <v>9.0123812266052414E-2</v>
      </c>
      <c r="K4" s="4">
        <f>SUM(I23:I40)</f>
        <v>5.528361646991075E-2</v>
      </c>
    </row>
    <row r="5" spans="1:11" x14ac:dyDescent="0.35">
      <c r="A5" s="2">
        <v>28</v>
      </c>
      <c r="B5">
        <v>0.5</v>
      </c>
      <c r="C5" s="4">
        <v>4.4742729306487703E-3</v>
      </c>
      <c r="D5">
        <v>4.25</v>
      </c>
      <c r="E5" s="4">
        <v>0.13972602739726028</v>
      </c>
      <c r="F5">
        <v>19.5</v>
      </c>
      <c r="G5" s="4">
        <v>0.13242784380305603</v>
      </c>
      <c r="H5">
        <v>24.25</v>
      </c>
      <c r="I5" s="4">
        <v>8.3789231212208479E-2</v>
      </c>
    </row>
    <row r="6" spans="1:11" x14ac:dyDescent="0.35">
      <c r="A6" s="2">
        <v>15</v>
      </c>
      <c r="B6">
        <v>7.666666666666667</v>
      </c>
      <c r="C6" s="4">
        <v>6.8605518269947818E-2</v>
      </c>
      <c r="D6">
        <v>0</v>
      </c>
      <c r="E6" s="4">
        <v>0</v>
      </c>
      <c r="F6">
        <v>13</v>
      </c>
      <c r="G6" s="4">
        <v>8.8285229202037352E-2</v>
      </c>
      <c r="H6">
        <v>20.666666666666668</v>
      </c>
      <c r="I6" s="4">
        <v>7.1408004606968056E-2</v>
      </c>
    </row>
    <row r="7" spans="1:11" x14ac:dyDescent="0.35">
      <c r="A7" s="2">
        <v>12</v>
      </c>
      <c r="B7">
        <v>0.75</v>
      </c>
      <c r="C7" s="4">
        <v>6.7114093959731551E-3</v>
      </c>
      <c r="D7">
        <v>5</v>
      </c>
      <c r="E7" s="4">
        <v>0.16438356164383564</v>
      </c>
      <c r="F7">
        <v>12.5</v>
      </c>
      <c r="G7" s="4">
        <v>8.4889643463497449E-2</v>
      </c>
      <c r="H7">
        <v>18.25</v>
      </c>
      <c r="I7" s="4">
        <v>6.3057875035991945E-2</v>
      </c>
    </row>
    <row r="8" spans="1:11" x14ac:dyDescent="0.35">
      <c r="A8" s="2">
        <v>7</v>
      </c>
      <c r="B8">
        <v>9.5</v>
      </c>
      <c r="C8" s="4">
        <v>8.5011185682326629E-2</v>
      </c>
      <c r="D8">
        <v>1.5</v>
      </c>
      <c r="E8" s="4">
        <v>4.9315068493150691E-2</v>
      </c>
      <c r="F8">
        <v>7</v>
      </c>
      <c r="G8" s="4">
        <v>4.7538200339558571E-2</v>
      </c>
      <c r="H8">
        <v>18</v>
      </c>
      <c r="I8" s="4">
        <v>6.2194068528649588E-2</v>
      </c>
    </row>
    <row r="9" spans="1:11" x14ac:dyDescent="0.35">
      <c r="A9" s="2">
        <v>2</v>
      </c>
      <c r="B9">
        <v>3.75</v>
      </c>
      <c r="C9" s="4">
        <v>3.3557046979865779E-2</v>
      </c>
      <c r="D9">
        <v>0</v>
      </c>
      <c r="E9" s="4">
        <v>0</v>
      </c>
      <c r="F9">
        <v>10</v>
      </c>
      <c r="G9" s="4">
        <v>6.7911714770797965E-2</v>
      </c>
      <c r="H9">
        <v>13.75</v>
      </c>
      <c r="I9" s="4">
        <v>4.7509357903829548E-2</v>
      </c>
    </row>
    <row r="10" spans="1:11" x14ac:dyDescent="0.35">
      <c r="A10" s="2">
        <v>35</v>
      </c>
      <c r="B10">
        <v>9.8333333333333339</v>
      </c>
      <c r="C10" s="4">
        <v>8.799403430275915E-2</v>
      </c>
      <c r="D10">
        <v>1.9999999999999998</v>
      </c>
      <c r="E10" s="4">
        <v>6.575342465753424E-2</v>
      </c>
      <c r="F10">
        <v>1</v>
      </c>
      <c r="G10" s="4">
        <v>6.7911714770797962E-3</v>
      </c>
      <c r="H10">
        <v>12.833333333333334</v>
      </c>
      <c r="I10" s="4">
        <v>4.434206737690758E-2</v>
      </c>
    </row>
    <row r="11" spans="1:11" x14ac:dyDescent="0.35">
      <c r="A11" s="2">
        <v>41</v>
      </c>
      <c r="B11">
        <v>8.5</v>
      </c>
      <c r="C11" s="4">
        <v>7.6062639821029093E-2</v>
      </c>
      <c r="D11">
        <v>0.33333333333333331</v>
      </c>
      <c r="E11" s="4">
        <v>1.0958904109589041E-2</v>
      </c>
      <c r="F11">
        <v>2</v>
      </c>
      <c r="G11" s="4">
        <v>1.3582342954159592E-2</v>
      </c>
      <c r="H11">
        <v>10.833333333333334</v>
      </c>
      <c r="I11" s="4">
        <v>3.7431615318168736E-2</v>
      </c>
    </row>
    <row r="12" spans="1:11" x14ac:dyDescent="0.35">
      <c r="A12" s="2">
        <v>20</v>
      </c>
      <c r="B12">
        <v>7.5</v>
      </c>
      <c r="C12" s="4">
        <v>6.7114093959731558E-2</v>
      </c>
      <c r="D12">
        <v>0</v>
      </c>
      <c r="E12" s="4">
        <v>0</v>
      </c>
      <c r="F12">
        <v>3</v>
      </c>
      <c r="G12" s="4">
        <v>2.037351443123939E-2</v>
      </c>
      <c r="H12">
        <v>10.5</v>
      </c>
      <c r="I12" s="4">
        <v>3.6279873308378931E-2</v>
      </c>
    </row>
    <row r="13" spans="1:11" x14ac:dyDescent="0.35">
      <c r="A13" s="2">
        <v>14</v>
      </c>
      <c r="B13">
        <v>0</v>
      </c>
      <c r="C13" s="4">
        <v>0</v>
      </c>
      <c r="D13">
        <v>2.75</v>
      </c>
      <c r="E13" s="4">
        <v>9.0410958904109592E-2</v>
      </c>
      <c r="F13">
        <v>7</v>
      </c>
      <c r="G13" s="4">
        <v>4.7538200339558571E-2</v>
      </c>
      <c r="H13">
        <v>9.75</v>
      </c>
      <c r="I13" s="4">
        <v>3.3688453786351859E-2</v>
      </c>
    </row>
    <row r="14" spans="1:11" x14ac:dyDescent="0.35">
      <c r="A14" s="2">
        <v>4</v>
      </c>
      <c r="B14">
        <v>2.5</v>
      </c>
      <c r="C14" s="4">
        <v>2.2371364653243849E-2</v>
      </c>
      <c r="D14">
        <v>0</v>
      </c>
      <c r="E14" s="4">
        <v>0</v>
      </c>
      <c r="F14">
        <v>7</v>
      </c>
      <c r="G14" s="4">
        <v>4.7538200339558571E-2</v>
      </c>
      <c r="H14">
        <v>9.5</v>
      </c>
      <c r="I14" s="4">
        <v>3.2824647279009508E-2</v>
      </c>
    </row>
    <row r="15" spans="1:11" x14ac:dyDescent="0.35">
      <c r="A15" s="2">
        <v>13</v>
      </c>
      <c r="B15">
        <v>2.5</v>
      </c>
      <c r="C15" s="4">
        <v>2.2371364653243849E-2</v>
      </c>
      <c r="D15">
        <v>0</v>
      </c>
      <c r="E15" s="4">
        <v>0</v>
      </c>
      <c r="F15">
        <v>7</v>
      </c>
      <c r="G15" s="4">
        <v>4.7538200339558571E-2</v>
      </c>
      <c r="H15">
        <v>9.5</v>
      </c>
      <c r="I15" s="4">
        <v>3.2824647279009508E-2</v>
      </c>
    </row>
    <row r="16" spans="1:11" x14ac:dyDescent="0.35">
      <c r="A16" s="2">
        <v>6</v>
      </c>
      <c r="B16">
        <v>5.5</v>
      </c>
      <c r="C16" s="4">
        <v>4.9217002237136473E-2</v>
      </c>
      <c r="D16">
        <v>1.5</v>
      </c>
      <c r="E16" s="4">
        <v>4.9315068493150691E-2</v>
      </c>
      <c r="G16" s="4">
        <v>0</v>
      </c>
      <c r="H16">
        <v>7</v>
      </c>
      <c r="I16" s="4">
        <v>2.4186582205585953E-2</v>
      </c>
    </row>
    <row r="17" spans="1:9" x14ac:dyDescent="0.35">
      <c r="A17" s="2">
        <v>32</v>
      </c>
      <c r="B17">
        <v>6.5</v>
      </c>
      <c r="C17" s="4">
        <v>5.8165548098434008E-2</v>
      </c>
      <c r="D17">
        <v>0</v>
      </c>
      <c r="E17" s="4">
        <v>0</v>
      </c>
      <c r="G17" s="4">
        <v>0</v>
      </c>
      <c r="H17">
        <v>6.5</v>
      </c>
      <c r="I17" s="4">
        <v>2.2458969190901241E-2</v>
      </c>
    </row>
    <row r="18" spans="1:9" x14ac:dyDescent="0.35">
      <c r="A18" s="2">
        <v>21</v>
      </c>
      <c r="B18">
        <v>1</v>
      </c>
      <c r="C18" s="4">
        <v>8.9485458612975407E-3</v>
      </c>
      <c r="D18">
        <v>1</v>
      </c>
      <c r="E18" s="4">
        <v>3.2876712328767127E-2</v>
      </c>
      <c r="F18">
        <v>4</v>
      </c>
      <c r="G18" s="4">
        <v>2.7164685908319185E-2</v>
      </c>
      <c r="H18">
        <v>6</v>
      </c>
      <c r="I18" s="4">
        <v>2.073135617621653E-2</v>
      </c>
    </row>
    <row r="19" spans="1:9" x14ac:dyDescent="0.35">
      <c r="A19" s="2">
        <v>33</v>
      </c>
      <c r="B19">
        <v>1.3333333333333333</v>
      </c>
      <c r="C19" s="4">
        <v>1.1931394481730053E-2</v>
      </c>
      <c r="D19">
        <v>0.25</v>
      </c>
      <c r="E19" s="4">
        <v>8.2191780821917818E-3</v>
      </c>
      <c r="F19">
        <v>3.25</v>
      </c>
      <c r="G19" s="4">
        <v>2.2071307300509338E-2</v>
      </c>
      <c r="H19">
        <v>4.833333333333333</v>
      </c>
      <c r="I19" s="4">
        <v>1.6700259141952205E-2</v>
      </c>
    </row>
    <row r="20" spans="1:9" x14ac:dyDescent="0.35">
      <c r="A20" s="2">
        <v>24</v>
      </c>
      <c r="B20">
        <v>3.666666666666667</v>
      </c>
      <c r="C20" s="4">
        <v>3.2811334824757649E-2</v>
      </c>
      <c r="D20">
        <v>0.66666666666666663</v>
      </c>
      <c r="E20" s="4">
        <v>2.1917808219178082E-2</v>
      </c>
      <c r="F20">
        <v>0</v>
      </c>
      <c r="G20" s="4">
        <v>0</v>
      </c>
      <c r="H20">
        <v>4.3333333333333339</v>
      </c>
      <c r="I20" s="4">
        <v>1.4972646127267496E-2</v>
      </c>
    </row>
    <row r="21" spans="1:9" x14ac:dyDescent="0.35">
      <c r="A21" s="2">
        <v>17</v>
      </c>
      <c r="B21">
        <v>0.75</v>
      </c>
      <c r="C21" s="4">
        <v>6.7114093959731551E-3</v>
      </c>
      <c r="D21">
        <v>0.25</v>
      </c>
      <c r="E21" s="4">
        <v>8.2191780821917818E-3</v>
      </c>
      <c r="F21">
        <v>3.25</v>
      </c>
      <c r="G21" s="4">
        <v>2.2071307300509338E-2</v>
      </c>
      <c r="H21">
        <v>4.25</v>
      </c>
      <c r="I21" s="4">
        <v>1.4684710624820043E-2</v>
      </c>
    </row>
    <row r="22" spans="1:9" x14ac:dyDescent="0.35">
      <c r="A22" s="2">
        <v>18</v>
      </c>
      <c r="B22">
        <v>1.6666666666666665</v>
      </c>
      <c r="C22" s="4">
        <v>1.4914243102162566E-2</v>
      </c>
      <c r="D22">
        <v>0</v>
      </c>
      <c r="E22" s="4">
        <v>0</v>
      </c>
      <c r="F22">
        <v>2</v>
      </c>
      <c r="G22" s="4">
        <v>1.3582342954159592E-2</v>
      </c>
      <c r="H22">
        <v>3.6666666666666665</v>
      </c>
      <c r="I22" s="4">
        <v>1.2669162107687879E-2</v>
      </c>
    </row>
    <row r="23" spans="1:9" x14ac:dyDescent="0.35">
      <c r="A23" s="2">
        <v>23</v>
      </c>
      <c r="B23">
        <v>0.25</v>
      </c>
      <c r="C23" s="4">
        <v>2.2371364653243852E-3</v>
      </c>
      <c r="D23">
        <v>0</v>
      </c>
      <c r="E23" s="4">
        <v>0</v>
      </c>
      <c r="F23">
        <v>2</v>
      </c>
      <c r="G23" s="4">
        <v>1.3582342954159592E-2</v>
      </c>
      <c r="H23">
        <v>2.25</v>
      </c>
      <c r="I23" s="4">
        <v>7.7742585660811984E-3</v>
      </c>
    </row>
    <row r="24" spans="1:9" x14ac:dyDescent="0.35">
      <c r="A24" s="2">
        <v>38</v>
      </c>
      <c r="B24">
        <v>2</v>
      </c>
      <c r="C24" s="4">
        <v>1.7897091722595081E-2</v>
      </c>
      <c r="D24">
        <v>0</v>
      </c>
      <c r="E24" s="4">
        <v>0</v>
      </c>
      <c r="F24">
        <v>0</v>
      </c>
      <c r="G24" s="4">
        <v>0</v>
      </c>
      <c r="H24">
        <v>2</v>
      </c>
      <c r="I24" s="4">
        <v>6.9104520587388437E-3</v>
      </c>
    </row>
    <row r="25" spans="1:9" x14ac:dyDescent="0.35">
      <c r="A25" s="2">
        <v>3</v>
      </c>
      <c r="B25">
        <v>1.75</v>
      </c>
      <c r="C25" s="4">
        <v>1.5659955257270694E-2</v>
      </c>
      <c r="D25">
        <v>0</v>
      </c>
      <c r="E25" s="4">
        <v>0</v>
      </c>
      <c r="G25" s="4">
        <v>0</v>
      </c>
      <c r="H25">
        <v>1.75</v>
      </c>
      <c r="I25" s="4">
        <v>6.0466455513964882E-3</v>
      </c>
    </row>
    <row r="26" spans="1:9" x14ac:dyDescent="0.35">
      <c r="A26" s="2">
        <v>26</v>
      </c>
      <c r="B26">
        <v>0.5</v>
      </c>
      <c r="C26" s="4">
        <v>4.4742729306487703E-3</v>
      </c>
      <c r="D26">
        <v>0</v>
      </c>
      <c r="E26" s="4">
        <v>0</v>
      </c>
      <c r="F26">
        <v>1.25</v>
      </c>
      <c r="G26" s="4">
        <v>8.4889643463497456E-3</v>
      </c>
      <c r="H26">
        <v>1.75</v>
      </c>
      <c r="I26" s="4">
        <v>6.0466455513964882E-3</v>
      </c>
    </row>
    <row r="27" spans="1:9" x14ac:dyDescent="0.35">
      <c r="A27" s="2">
        <v>16</v>
      </c>
      <c r="B27">
        <v>0</v>
      </c>
      <c r="C27" s="4">
        <v>0</v>
      </c>
      <c r="D27">
        <v>0.25</v>
      </c>
      <c r="E27" s="4">
        <v>8.2191780821917818E-3</v>
      </c>
      <c r="F27">
        <v>1.25</v>
      </c>
      <c r="G27" s="4">
        <v>8.4889643463497456E-3</v>
      </c>
      <c r="H27">
        <v>1.5</v>
      </c>
      <c r="I27" s="4">
        <v>5.1828390440541326E-3</v>
      </c>
    </row>
    <row r="28" spans="1:9" x14ac:dyDescent="0.35">
      <c r="A28" s="2">
        <v>34</v>
      </c>
      <c r="B28">
        <v>1</v>
      </c>
      <c r="C28" s="4">
        <v>8.9485458612975407E-3</v>
      </c>
      <c r="D28">
        <v>0.33333333333333331</v>
      </c>
      <c r="E28" s="4">
        <v>1.0958904109589041E-2</v>
      </c>
      <c r="G28" s="4">
        <v>0</v>
      </c>
      <c r="H28">
        <v>1.3333333333333333</v>
      </c>
      <c r="I28" s="4">
        <v>4.6069680391592283E-3</v>
      </c>
    </row>
    <row r="29" spans="1:9" x14ac:dyDescent="0.35">
      <c r="A29" s="2">
        <v>19</v>
      </c>
      <c r="B29">
        <v>0.5</v>
      </c>
      <c r="C29" s="4">
        <v>4.4742729306487703E-3</v>
      </c>
      <c r="D29">
        <v>0.75</v>
      </c>
      <c r="E29" s="4">
        <v>2.4657534246575345E-2</v>
      </c>
      <c r="F29">
        <v>0</v>
      </c>
      <c r="G29" s="4">
        <v>0</v>
      </c>
      <c r="H29">
        <v>1.25</v>
      </c>
      <c r="I29" s="4">
        <v>4.319032536711777E-3</v>
      </c>
    </row>
    <row r="30" spans="1:9" x14ac:dyDescent="0.35">
      <c r="A30" s="2">
        <v>5</v>
      </c>
      <c r="B30">
        <v>0.33333333333333331</v>
      </c>
      <c r="C30" s="4">
        <v>2.9828486204325133E-3</v>
      </c>
      <c r="D30">
        <v>0</v>
      </c>
      <c r="E30" s="4">
        <v>0</v>
      </c>
      <c r="F30">
        <v>0.66666666666666663</v>
      </c>
      <c r="G30" s="4">
        <v>4.5274476513865302E-3</v>
      </c>
      <c r="H30">
        <v>1</v>
      </c>
      <c r="I30" s="4">
        <v>3.4552260293694219E-3</v>
      </c>
    </row>
    <row r="31" spans="1:9" x14ac:dyDescent="0.35">
      <c r="A31" s="2">
        <v>8</v>
      </c>
      <c r="B31">
        <v>0</v>
      </c>
      <c r="C31" s="4">
        <v>0</v>
      </c>
      <c r="D31">
        <v>0</v>
      </c>
      <c r="E31" s="4">
        <v>0</v>
      </c>
      <c r="F31">
        <v>1</v>
      </c>
      <c r="G31" s="4">
        <v>6.7911714770797962E-3</v>
      </c>
      <c r="H31">
        <v>1</v>
      </c>
      <c r="I31" s="4">
        <v>3.4552260293694219E-3</v>
      </c>
    </row>
    <row r="32" spans="1:9" x14ac:dyDescent="0.35">
      <c r="A32" s="2">
        <v>25</v>
      </c>
      <c r="B32">
        <v>0.25</v>
      </c>
      <c r="C32" s="4">
        <v>2.2371364653243852E-3</v>
      </c>
      <c r="D32">
        <v>0</v>
      </c>
      <c r="E32" s="4">
        <v>0</v>
      </c>
      <c r="F32">
        <v>0.33333333333333331</v>
      </c>
      <c r="G32" s="4">
        <v>2.2637238256932651E-3</v>
      </c>
      <c r="H32">
        <v>0.58333333333333326</v>
      </c>
      <c r="I32" s="4">
        <v>2.0155485171321624E-3</v>
      </c>
    </row>
    <row r="33" spans="1:9" x14ac:dyDescent="0.35">
      <c r="A33" s="2">
        <v>29</v>
      </c>
      <c r="B33">
        <v>0</v>
      </c>
      <c r="C33" s="4">
        <v>0</v>
      </c>
      <c r="D33">
        <v>0.25</v>
      </c>
      <c r="E33" s="4">
        <v>8.2191780821917818E-3</v>
      </c>
      <c r="F33">
        <v>0.25</v>
      </c>
      <c r="G33" s="4">
        <v>1.697792869269949E-3</v>
      </c>
      <c r="H33">
        <v>0.5</v>
      </c>
      <c r="I33" s="4">
        <v>1.7276130146847109E-3</v>
      </c>
    </row>
    <row r="34" spans="1:9" x14ac:dyDescent="0.35">
      <c r="A34" s="2">
        <v>27</v>
      </c>
      <c r="B34">
        <v>0</v>
      </c>
      <c r="C34" s="4">
        <v>0</v>
      </c>
      <c r="D34">
        <v>0</v>
      </c>
      <c r="E34" s="4">
        <v>0</v>
      </c>
      <c r="F34">
        <v>0.33333333333333331</v>
      </c>
      <c r="G34" s="4">
        <v>2.2637238256932651E-3</v>
      </c>
      <c r="H34">
        <v>0.33333333333333331</v>
      </c>
      <c r="I34" s="4">
        <v>1.1517420097898071E-3</v>
      </c>
    </row>
    <row r="35" spans="1:9" x14ac:dyDescent="0.35">
      <c r="A35" s="2">
        <v>9</v>
      </c>
      <c r="B35">
        <v>0.25</v>
      </c>
      <c r="C35" s="4">
        <v>2.2371364653243852E-3</v>
      </c>
      <c r="D35">
        <v>0</v>
      </c>
      <c r="E35" s="4">
        <v>0</v>
      </c>
      <c r="F35">
        <v>0</v>
      </c>
      <c r="G35" s="4">
        <v>0</v>
      </c>
      <c r="H35">
        <v>0.25</v>
      </c>
      <c r="I35" s="4">
        <v>8.6380650734235547E-4</v>
      </c>
    </row>
    <row r="36" spans="1:9" x14ac:dyDescent="0.35">
      <c r="A36" s="2">
        <v>11</v>
      </c>
      <c r="B36">
        <v>0.25</v>
      </c>
      <c r="C36" s="4">
        <v>2.2371364653243852E-3</v>
      </c>
      <c r="D36">
        <v>0</v>
      </c>
      <c r="E36" s="4">
        <v>0</v>
      </c>
      <c r="F36">
        <v>0</v>
      </c>
      <c r="G36" s="4">
        <v>0</v>
      </c>
      <c r="H36">
        <v>0.25</v>
      </c>
      <c r="I36" s="4">
        <v>8.6380650734235547E-4</v>
      </c>
    </row>
    <row r="37" spans="1:9" x14ac:dyDescent="0.35">
      <c r="A37" s="2">
        <v>30</v>
      </c>
      <c r="B37">
        <v>0</v>
      </c>
      <c r="C37" s="4">
        <v>0</v>
      </c>
      <c r="D37">
        <v>0.25</v>
      </c>
      <c r="E37" s="4">
        <v>8.2191780821917818E-3</v>
      </c>
      <c r="F37">
        <v>0</v>
      </c>
      <c r="G37" s="4">
        <v>0</v>
      </c>
      <c r="H37">
        <v>0.25</v>
      </c>
      <c r="I37" s="4">
        <v>8.6380650734235547E-4</v>
      </c>
    </row>
    <row r="38" spans="1:9" x14ac:dyDescent="0.35">
      <c r="A38" s="2">
        <v>36</v>
      </c>
      <c r="B38">
        <v>0</v>
      </c>
      <c r="C38" s="4">
        <v>0</v>
      </c>
      <c r="D38">
        <v>0</v>
      </c>
      <c r="E38" s="4">
        <v>0</v>
      </c>
      <c r="G38" s="4">
        <v>0</v>
      </c>
      <c r="H38">
        <v>0</v>
      </c>
      <c r="I38" s="4">
        <v>0</v>
      </c>
    </row>
    <row r="39" spans="1:9" x14ac:dyDescent="0.35">
      <c r="A39" s="2">
        <v>37</v>
      </c>
      <c r="B39">
        <v>0</v>
      </c>
      <c r="C39" s="4">
        <v>0</v>
      </c>
      <c r="D39">
        <v>0</v>
      </c>
      <c r="E39" s="4">
        <v>0</v>
      </c>
      <c r="F39">
        <v>0</v>
      </c>
      <c r="G39" s="4">
        <v>0</v>
      </c>
      <c r="H39">
        <v>0</v>
      </c>
      <c r="I39" s="4">
        <v>0</v>
      </c>
    </row>
    <row r="40" spans="1:9" x14ac:dyDescent="0.35">
      <c r="A40" s="6">
        <v>39</v>
      </c>
      <c r="B40" s="8">
        <v>0</v>
      </c>
      <c r="C40" s="4">
        <v>0</v>
      </c>
      <c r="D40" s="8">
        <v>0</v>
      </c>
      <c r="E40" s="4">
        <v>0</v>
      </c>
      <c r="F40" s="8">
        <v>0</v>
      </c>
      <c r="G40" s="4">
        <v>0</v>
      </c>
      <c r="H40" s="8">
        <v>0</v>
      </c>
      <c r="I40" s="4">
        <v>0</v>
      </c>
    </row>
    <row r="41" spans="1:9" x14ac:dyDescent="0.35">
      <c r="A41" s="5" t="s">
        <v>9</v>
      </c>
      <c r="B41" s="7">
        <v>111.74999999999999</v>
      </c>
      <c r="C41" s="9">
        <v>1</v>
      </c>
      <c r="D41" s="7">
        <v>30.416666666666664</v>
      </c>
      <c r="E41" s="9">
        <v>1</v>
      </c>
      <c r="F41" s="7">
        <v>147.25</v>
      </c>
      <c r="G41" s="9">
        <v>1</v>
      </c>
      <c r="H41" s="7">
        <v>289.41666666666663</v>
      </c>
      <c r="I41" s="9">
        <v>1</v>
      </c>
    </row>
  </sheetData>
  <sortState xmlns:xlrd2="http://schemas.microsoft.com/office/spreadsheetml/2017/richdata2" ref="A2:I40">
    <sortCondition descending="1" ref="I2:I40"/>
  </sortState>
  <conditionalFormatting sqref="I2:I41 G2:G41 E2:E41 C2:C41">
    <cfRule type="cellIs" dxfId="2" priority="10" operator="lessThan">
      <formula>0.01</formula>
    </cfRule>
    <cfRule type="cellIs" dxfId="1" priority="11" operator="between">
      <formula>0.01</formula>
      <formula>0.05</formula>
    </cfRule>
    <cfRule type="cellIs" dxfId="0" priority="12" operator="greaterThan">
      <formula>0.0499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Immature acorns</vt:lpstr>
      <vt:lpstr>Enlarged cup</vt:lpstr>
      <vt:lpstr>Flowers</vt:lpstr>
      <vt:lpstr>Galls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McClory</dc:creator>
  <cp:lastModifiedBy>Ryan McClory</cp:lastModifiedBy>
  <dcterms:created xsi:type="dcterms:W3CDTF">2023-08-08T10:20:18Z</dcterms:created>
  <dcterms:modified xsi:type="dcterms:W3CDTF">2023-11-24T15:35:21Z</dcterms:modified>
</cp:coreProperties>
</file>